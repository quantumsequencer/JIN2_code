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nyjpn-my.sharepoint.com/personal/kiyoshi_k_hasegawa_sony_com/Documents/jin/2026-08-10 設定値変更用アプリ更新/ノイズ対策後/"/>
    </mc:Choice>
  </mc:AlternateContent>
  <xr:revisionPtr revIDLastSave="364" documentId="13_ncr:1_{14A79EB7-45F2-430B-986E-303A330C131E}" xr6:coauthVersionLast="47" xr6:coauthVersionMax="47" xr10:uidLastSave="{F46C9634-BAFD-4C64-838E-B12E8BFEC4E6}"/>
  <bookViews>
    <workbookView xWindow="2304" yWindow="2304" windowWidth="34560" windowHeight="18600" xr2:uid="{3816CAB2-8400-4872-8F13-8254E214A5B1}"/>
  </bookViews>
  <sheets>
    <sheet name="使用方法" sheetId="2" r:id="rId1"/>
    <sheet name="FirstCut" sheetId="1" r:id="rId2"/>
    <sheet name="MotorTraining" sheetId="3" r:id="rId3"/>
    <sheet name="PiezoTraining" sheetId="4" r:id="rId4"/>
    <sheet name="Targeting" sheetId="5" r:id="rId5"/>
    <sheet name="AutoCut" sheetId="9" r:id="rId6"/>
    <sheet name="Calibration" sheetId="7" r:id="rId7"/>
    <sheet name="ExpandGap" sheetId="10" r:id="rId8"/>
    <sheet name="HoldGap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1" l="1"/>
  <c r="D30" i="11"/>
  <c r="D31" i="11"/>
  <c r="D32" i="11"/>
  <c r="D33" i="11"/>
  <c r="D12" i="10"/>
  <c r="B16" i="10" s="1"/>
  <c r="C12" i="10"/>
  <c r="C11" i="10"/>
  <c r="H41" i="9"/>
  <c r="H40" i="9"/>
  <c r="H39" i="9"/>
  <c r="H38" i="9"/>
  <c r="H37" i="9"/>
  <c r="H36" i="9"/>
  <c r="H35" i="9"/>
  <c r="G41" i="9"/>
  <c r="G40" i="9"/>
  <c r="G39" i="9"/>
  <c r="G38" i="9"/>
  <c r="G37" i="9"/>
  <c r="G36" i="9"/>
  <c r="G35" i="9"/>
  <c r="F41" i="9"/>
  <c r="F40" i="9"/>
  <c r="F39" i="9"/>
  <c r="F38" i="9"/>
  <c r="F37" i="9"/>
  <c r="F36" i="9"/>
  <c r="F35" i="9"/>
  <c r="E41" i="9" a="1"/>
  <c r="E41" i="9" s="1"/>
  <c r="E40" i="9" a="1"/>
  <c r="E40" i="9" s="1"/>
  <c r="E39" i="9" a="1"/>
  <c r="E39" i="9" s="1"/>
  <c r="E38" i="9" a="1"/>
  <c r="E38" i="9" s="1"/>
  <c r="E37" i="9" a="1"/>
  <c r="E37" i="9" s="1"/>
  <c r="E36" i="9" a="1"/>
  <c r="E36" i="9" s="1"/>
  <c r="E35" i="9" a="1"/>
  <c r="E35" i="9" s="1"/>
  <c r="G22" i="5"/>
  <c r="F22" i="5"/>
  <c r="E22" i="5"/>
  <c r="H22" i="5"/>
  <c r="B39" i="5" s="1"/>
  <c r="D22" i="5"/>
  <c r="E35" i="5"/>
  <c r="F35" i="5" s="1"/>
  <c r="G35" i="5" s="1"/>
  <c r="H35" i="5" s="1"/>
  <c r="E33" i="5" a="1"/>
  <c r="E33" i="5" s="1"/>
  <c r="F33" i="5" s="1"/>
  <c r="G33" i="5" s="1"/>
  <c r="H33" i="5" s="1"/>
  <c r="E32" i="5" a="1"/>
  <c r="E32" i="5" s="1"/>
  <c r="F32" i="5" s="1"/>
  <c r="G32" i="5" s="1"/>
  <c r="H32" i="5" s="1"/>
  <c r="E31" i="5" a="1"/>
  <c r="E31" i="5" s="1"/>
  <c r="F31" i="5" s="1"/>
  <c r="G31" i="5" s="1"/>
  <c r="H31" i="5" s="1"/>
  <c r="C31" i="11"/>
  <c r="C17" i="7"/>
  <c r="C16" i="7"/>
  <c r="C18" i="4"/>
  <c r="C17" i="4"/>
  <c r="C18" i="3"/>
  <c r="C17" i="3"/>
  <c r="C17" i="1"/>
  <c r="C33" i="11"/>
  <c r="C26" i="11"/>
  <c r="E30" i="11" s="1"/>
  <c r="B17" i="10"/>
  <c r="B15" i="10"/>
  <c r="C34" i="5"/>
  <c r="C33" i="5"/>
  <c r="C32" i="5"/>
  <c r="C31" i="5"/>
  <c r="F30" i="11" l="1"/>
  <c r="C32" i="11"/>
  <c r="E32" i="11"/>
  <c r="F32" i="11" s="1"/>
  <c r="E33" i="11"/>
  <c r="F33" i="11" s="1"/>
  <c r="E31" i="11"/>
  <c r="F31" i="11" s="1"/>
  <c r="C24" i="11"/>
  <c r="B38" i="11" s="1"/>
  <c r="E29" i="11"/>
  <c r="F29" i="11" s="1"/>
  <c r="C29" i="11"/>
  <c r="C30" i="11"/>
  <c r="D23" i="9"/>
  <c r="E23" i="9" s="1"/>
  <c r="B45" i="9" s="1"/>
  <c r="C36" i="5"/>
  <c r="C35" i="5"/>
  <c r="C35" i="9"/>
  <c r="C42" i="9"/>
  <c r="C37" i="9"/>
  <c r="C38" i="9"/>
  <c r="C39" i="9"/>
  <c r="C40" i="9"/>
  <c r="C41" i="9"/>
  <c r="C36" i="9"/>
  <c r="B54" i="9"/>
  <c r="B39" i="11" l="1"/>
  <c r="B42" i="11"/>
  <c r="B41" i="11"/>
  <c r="B40" i="11"/>
  <c r="B43" i="11"/>
  <c r="I35" i="9" l="1"/>
  <c r="I42" i="9"/>
  <c r="I36" i="9"/>
  <c r="I37" i="9"/>
  <c r="I38" i="9"/>
  <c r="I39" i="9"/>
  <c r="I40" i="9"/>
  <c r="I41" i="9"/>
  <c r="K42" i="9"/>
  <c r="J42" i="9" s="1"/>
  <c r="K41" i="9"/>
  <c r="J41" i="9" s="1"/>
  <c r="K40" i="9"/>
  <c r="J40" i="9" s="1"/>
  <c r="K39" i="9"/>
  <c r="J39" i="9" s="1"/>
  <c r="K38" i="9"/>
  <c r="J38" i="9" s="1"/>
  <c r="K37" i="9"/>
  <c r="J37" i="9" s="1"/>
  <c r="K36" i="9"/>
  <c r="J36" i="9" s="1"/>
  <c r="K35" i="9"/>
  <c r="J35" i="9" s="1"/>
  <c r="B47" i="5"/>
  <c r="B46" i="5"/>
  <c r="K36" i="5"/>
  <c r="J36" i="5" s="1"/>
  <c r="K35" i="5"/>
  <c r="J35" i="5" s="1"/>
  <c r="K34" i="5"/>
  <c r="J34" i="5" s="1"/>
  <c r="K33" i="5"/>
  <c r="J33" i="5" s="1"/>
  <c r="K32" i="5"/>
  <c r="J32" i="5" s="1"/>
  <c r="K31" i="5"/>
  <c r="J31" i="5" s="1"/>
  <c r="I35" i="5"/>
  <c r="I36" i="5"/>
  <c r="I33" i="5"/>
  <c r="I32" i="5"/>
  <c r="I34" i="5"/>
  <c r="I31" i="5"/>
  <c r="B40" i="5" s="1"/>
  <c r="D17" i="1"/>
  <c r="B21" i="1" s="1"/>
  <c r="B22" i="7"/>
  <c r="D16" i="7"/>
  <c r="D17" i="7"/>
  <c r="B53" i="9" l="1"/>
  <c r="B44" i="5"/>
  <c r="B46" i="9"/>
  <c r="B52" i="9"/>
  <c r="B51" i="9"/>
  <c r="B50" i="9"/>
  <c r="B49" i="9"/>
  <c r="B48" i="9"/>
  <c r="B47" i="9"/>
  <c r="B21" i="7"/>
  <c r="B43" i="5"/>
  <c r="B45" i="5"/>
  <c r="B41" i="5"/>
  <c r="B42" i="5"/>
  <c r="B20" i="1" l="1"/>
  <c r="B19" i="1"/>
  <c r="B24" i="1"/>
  <c r="B23" i="1"/>
  <c r="B22" i="1"/>
  <c r="D18" i="4"/>
  <c r="D17" i="4"/>
  <c r="D18" i="3"/>
  <c r="D17" i="3"/>
  <c r="B21" i="4" l="1"/>
  <c r="B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Hasegawa, Kiyoshi (SGMO)</author>
  </authors>
  <commentList>
    <comment ref="D22" authorId="0" shapeId="0" xr:uid="{D4A6FD02-34AE-4A89-871B-C003E041CB42}">
      <text>
        <r>
          <rPr>
            <sz val="9"/>
            <color indexed="81"/>
            <rFont val="Meiryo UI"/>
            <family val="3"/>
            <charset val="128"/>
          </rPr>
          <t>Gn (S)</t>
        </r>
      </text>
    </comment>
    <comment ref="E22" authorId="0" shapeId="0" xr:uid="{05E7B711-88E3-42D1-B192-8B9D8AD1DB61}">
      <text>
        <r>
          <rPr>
            <sz val="9"/>
            <color indexed="81"/>
            <rFont val="Meiryo UI"/>
            <family val="3"/>
            <charset val="128"/>
          </rPr>
          <t>総入力抵抗 (Ω)</t>
        </r>
      </text>
    </comment>
    <comment ref="F22" authorId="0" shapeId="0" xr:uid="{D7F5F156-D7FA-48CC-A75B-73E38F0FD526}">
      <text>
        <r>
          <rPr>
            <sz val="9"/>
            <color indexed="81"/>
            <rFont val="Meiryo UI"/>
            <family val="3"/>
            <charset val="128"/>
          </rPr>
          <t>電流値 (uA)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<sst xmlns="http://schemas.openxmlformats.org/spreadsheetml/2006/main" count="315" uniqueCount="161">
  <si>
    <t>MCBJ/ASZ の各機能に対応したシートの設定を必要に応じて変更する</t>
    <rPh sb="10" eb="11">
      <t>カク</t>
    </rPh>
    <rPh sb="11" eb="13">
      <t>キノウ</t>
    </rPh>
    <rPh sb="14" eb="16">
      <t>タイオウ</t>
    </rPh>
    <rPh sb="22" eb="24">
      <t>セッテイ</t>
    </rPh>
    <rPh sb="25" eb="27">
      <t>ヒツヨウ</t>
    </rPh>
    <rPh sb="28" eb="29">
      <t>オウ</t>
    </rPh>
    <rPh sb="31" eb="33">
      <t>ヘンコウ</t>
    </rPh>
    <phoneticPr fontId="2"/>
  </si>
  <si>
    <t>下記のような凡例になっていますので、白色の項目だけ変更してください(右図参照)</t>
    <rPh sb="0" eb="2">
      <t>カキ</t>
    </rPh>
    <rPh sb="6" eb="8">
      <t>ハンレイ</t>
    </rPh>
    <rPh sb="18" eb="20">
      <t>ハクショク</t>
    </rPh>
    <rPh sb="21" eb="23">
      <t>コウモク</t>
    </rPh>
    <rPh sb="25" eb="27">
      <t>ヘンコウ</t>
    </rPh>
    <rPh sb="34" eb="35">
      <t>ミギ</t>
    </rPh>
    <rPh sb="35" eb="36">
      <t>ズ</t>
    </rPh>
    <rPh sb="36" eb="38">
      <t>サンショウ</t>
    </rPh>
    <phoneticPr fontId="2"/>
  </si>
  <si>
    <t>項目名</t>
    <rPh sb="0" eb="3">
      <t>コウモクメイ</t>
    </rPh>
    <phoneticPr fontId="2"/>
  </si>
  <si>
    <t>変数名</t>
    <rPh sb="0" eb="3">
      <t>ヘンスウメイ</t>
    </rPh>
    <phoneticPr fontId="2"/>
  </si>
  <si>
    <t>固定値 or 自動算出</t>
    <rPh sb="0" eb="3">
      <t>コテイチ</t>
    </rPh>
    <rPh sb="7" eb="11">
      <t>ジドウサンシュツ</t>
    </rPh>
    <phoneticPr fontId="2"/>
  </si>
  <si>
    <t>単位</t>
    <rPh sb="0" eb="2">
      <t>タンイ</t>
    </rPh>
    <phoneticPr fontId="2"/>
  </si>
  <si>
    <t>入力欄</t>
    <rPh sb="0" eb="3">
      <t>ニュウリョクラン</t>
    </rPh>
    <phoneticPr fontId="2"/>
  </si>
  <si>
    <t>※ 各シートの「以下書き換え禁止」行以下の修正はしないようにお願いします。</t>
    <rPh sb="2" eb="3">
      <t>カク</t>
    </rPh>
    <rPh sb="17" eb="18">
      <t>ギョウ</t>
    </rPh>
    <rPh sb="18" eb="20">
      <t>イカ</t>
    </rPh>
    <rPh sb="21" eb="23">
      <t>シュウセイ</t>
    </rPh>
    <rPh sb="31" eb="32">
      <t>ネガ</t>
    </rPh>
    <phoneticPr fontId="2"/>
  </si>
  <si>
    <t>make_setting.exe にこのファイルをドラッグアンドドロップする</t>
    <phoneticPr fontId="2"/>
  </si>
  <si>
    <t>jin_setting_change.ttl が生成される</t>
    <rPh sb="24" eb="26">
      <t>セイセイ</t>
    </rPh>
    <phoneticPr fontId="2"/>
  </si>
  <si>
    <t>TeraTerm から jin_setting_change.ttl を実行し設定完了を待つ</t>
    <rPh sb="36" eb="38">
      <t>ジッコウ</t>
    </rPh>
    <rPh sb="39" eb="41">
      <t>セッテイ</t>
    </rPh>
    <rPh sb="41" eb="43">
      <t>カンリョウ</t>
    </rPh>
    <rPh sb="44" eb="45">
      <t>マ</t>
    </rPh>
    <phoneticPr fontId="2"/>
  </si>
  <si>
    <t>「コントロール」 →　「マクロ」</t>
    <phoneticPr fontId="2"/>
  </si>
  <si>
    <t>MCBJ/ASZ を開始する</t>
    <rPh sb="10" eb="12">
      <t>カイシ</t>
    </rPh>
    <phoneticPr fontId="2"/>
  </si>
  <si>
    <t>First Cut 設定</t>
    <rPh sb="10" eb="12">
      <t>セッテイ</t>
    </rPh>
    <phoneticPr fontId="2"/>
  </si>
  <si>
    <t>旧名</t>
    <rPh sb="0" eb="2">
      <t>キュウメイ</t>
    </rPh>
    <phoneticPr fontId="2"/>
  </si>
  <si>
    <t>FC Up Limit</t>
    <phoneticPr fontId="2"/>
  </si>
  <si>
    <t>μm</t>
    <phoneticPr fontId="2"/>
  </si>
  <si>
    <t>FC P MAX</t>
    <phoneticPr fontId="2"/>
  </si>
  <si>
    <t>FC DownDistance</t>
    <phoneticPr fontId="2"/>
  </si>
  <si>
    <t>無名</t>
    <rPh sb="0" eb="2">
      <t>ムメイ</t>
    </rPh>
    <phoneticPr fontId="2"/>
  </si>
  <si>
    <t>Cut KA</t>
    <phoneticPr fontId="2"/>
  </si>
  <si>
    <t>μA</t>
    <phoneticPr fontId="2"/>
  </si>
  <si>
    <t>1FC Up Speed</t>
    <phoneticPr fontId="2"/>
  </si>
  <si>
    <t>μm/sec</t>
    <phoneticPr fontId="2"/>
  </si>
  <si>
    <t>1FB Speed</t>
    <phoneticPr fontId="2"/>
  </si>
  <si>
    <t>1FC Down Speed</t>
    <phoneticPr fontId="2"/>
  </si>
  <si>
    <t>FC D 1st Rate</t>
    <phoneticPr fontId="2"/>
  </si>
  <si>
    <t>2FC Up Speed</t>
    <phoneticPr fontId="2"/>
  </si>
  <si>
    <t>2FB Speed</t>
    <phoneticPr fontId="2"/>
  </si>
  <si>
    <t>2FC Down Speed</t>
    <phoneticPr fontId="2"/>
  </si>
  <si>
    <t>3FC Up Speed</t>
    <phoneticPr fontId="2"/>
  </si>
  <si>
    <t>3FB Speed</t>
    <phoneticPr fontId="2"/>
  </si>
  <si>
    <t>3FC Down Speed</t>
    <phoneticPr fontId="2"/>
  </si>
  <si>
    <t>以下書き換え禁止</t>
    <rPh sb="0" eb="2">
      <t>イカ</t>
    </rPh>
    <rPh sb="2" eb="3">
      <t>カ</t>
    </rPh>
    <rPh sb="4" eb="5">
      <t>カ</t>
    </rPh>
    <rPh sb="6" eb="8">
      <t>キンシ</t>
    </rPh>
    <phoneticPr fontId="2"/>
  </si>
  <si>
    <t>Cut KA AD値</t>
    <rPh sb="9" eb="10">
      <t>チ</t>
    </rPh>
    <phoneticPr fontId="2"/>
  </si>
  <si>
    <t>#cmd</t>
    <phoneticPr fontId="2"/>
  </si>
  <si>
    <t>Motor Training Mode 設定</t>
    <rPh sb="20" eb="22">
      <t>セッテイ</t>
    </rPh>
    <phoneticPr fontId="2"/>
  </si>
  <si>
    <t>Connect KA</t>
    <phoneticPr fontId="2"/>
  </si>
  <si>
    <t>Motor speed</t>
    <phoneticPr fontId="2"/>
  </si>
  <si>
    <t>MA P Rate</t>
    <phoneticPr fontId="2"/>
  </si>
  <si>
    <t>電流値上限 AD値</t>
    <rPh sb="0" eb="3">
      <t>デンリュウチ</t>
    </rPh>
    <rPh sb="3" eb="5">
      <t>ジョウゲン</t>
    </rPh>
    <rPh sb="8" eb="9">
      <t>チ</t>
    </rPh>
    <phoneticPr fontId="2"/>
  </si>
  <si>
    <t>電流値下限 AD値</t>
    <rPh sb="0" eb="3">
      <t>デンリュウチ</t>
    </rPh>
    <rPh sb="3" eb="4">
      <t>シタ</t>
    </rPh>
    <rPh sb="4" eb="5">
      <t>キリ</t>
    </rPh>
    <rPh sb="8" eb="9">
      <t>チ</t>
    </rPh>
    <phoneticPr fontId="2"/>
  </si>
  <si>
    <t>Piezo Training Mode 設定</t>
    <rPh sb="20" eb="22">
      <t>セッテイ</t>
    </rPh>
    <phoneticPr fontId="2"/>
  </si>
  <si>
    <t>Piezo speed</t>
    <phoneticPr fontId="2"/>
  </si>
  <si>
    <t>nm/sec</t>
    <phoneticPr fontId="2"/>
  </si>
  <si>
    <t>TA P Rate</t>
    <phoneticPr fontId="2"/>
  </si>
  <si>
    <t>Targeting 設定</t>
    <rPh sb="10" eb="12">
      <t>セッテイ</t>
    </rPh>
    <phoneticPr fontId="2"/>
  </si>
  <si>
    <t>Target G0 Level
※ Target G0 Level は 2以上を指定すること。</t>
    <phoneticPr fontId="2"/>
  </si>
  <si>
    <t>-</t>
    <phoneticPr fontId="2"/>
  </si>
  <si>
    <t>Target G0</t>
    <phoneticPr fontId="2"/>
  </si>
  <si>
    <t>((Now G0 Level - Target G0 Level) ＞＝ 0)
の場合の速度設定</t>
    <rPh sb="41" eb="43">
      <t>バアイ</t>
    </rPh>
    <rPh sb="44" eb="46">
      <t>ソクド</t>
    </rPh>
    <rPh sb="46" eb="48">
      <t>セッテイ</t>
    </rPh>
    <phoneticPr fontId="2"/>
  </si>
  <si>
    <t>(Now G0 Level - Target G0 Level) &gt; 650</t>
    <phoneticPr fontId="2"/>
  </si>
  <si>
    <t>G0 Level</t>
    <phoneticPr fontId="2"/>
  </si>
  <si>
    <t>650 &gt;= (Now G0 Level - Target G0 Level) &gt; 400</t>
    <phoneticPr fontId="2"/>
  </si>
  <si>
    <t>400 &gt;= (Now G0 Level - Target G0 Level) &gt; 50</t>
    <phoneticPr fontId="2"/>
  </si>
  <si>
    <t>50 &gt;= (Now G0 Level - Target G0 Level)</t>
    <phoneticPr fontId="2"/>
  </si>
  <si>
    <t>((Now G0 Level - Target G0 Level) &lt; 0)
の場合の速度設定</t>
    <phoneticPr fontId="2"/>
  </si>
  <si>
    <t>Now G0 Level &lt; 1</t>
    <phoneticPr fontId="2"/>
  </si>
  <si>
    <t>Now G0 Level &gt;= 1</t>
    <phoneticPr fontId="2"/>
  </si>
  <si>
    <t>TG Up Limit
※ Targetingによる持ち上げ機構の最大移動量</t>
    <rPh sb="26" eb="27">
      <t>モ</t>
    </rPh>
    <rPh sb="28" eb="29">
      <t>ア</t>
    </rPh>
    <rPh sb="30" eb="32">
      <t>キコウ</t>
    </rPh>
    <rPh sb="33" eb="35">
      <t>サイダイ</t>
    </rPh>
    <rPh sb="35" eb="37">
      <t>イドウ</t>
    </rPh>
    <rPh sb="37" eb="38">
      <t>リョウ</t>
    </rPh>
    <phoneticPr fontId="2"/>
  </si>
  <si>
    <t>µm</t>
    <phoneticPr fontId="2"/>
  </si>
  <si>
    <t>TG Max time
※ 目標電流値へ到達できなかった場合にTargetingを諦めるまでの時間</t>
    <rPh sb="41" eb="42">
      <t>アキラ</t>
    </rPh>
    <rPh sb="47" eb="49">
      <t>ジカン</t>
    </rPh>
    <phoneticPr fontId="2"/>
  </si>
  <si>
    <t>sec</t>
    <phoneticPr fontId="2"/>
  </si>
  <si>
    <t>目標電流値 AD値</t>
    <rPh sb="0" eb="5">
      <t>モクヒョウデンリュウチ</t>
    </rPh>
    <rPh sb="8" eb="9">
      <t>チ</t>
    </rPh>
    <phoneticPr fontId="2"/>
  </si>
  <si>
    <t>(Now G0 Level - Target G0 Level) Thd</t>
    <phoneticPr fontId="2"/>
  </si>
  <si>
    <t>Now G0 Level Thd</t>
    <phoneticPr fontId="2"/>
  </si>
  <si>
    <t>内容
※ 電流値 AD値の昇順に記載</t>
    <rPh sb="0" eb="2">
      <t>ナイヨウ</t>
    </rPh>
    <phoneticPr fontId="2"/>
  </si>
  <si>
    <t>INDEX</t>
    <phoneticPr fontId="2"/>
  </si>
  <si>
    <t>電流値 AD値</t>
    <phoneticPr fontId="2"/>
  </si>
  <si>
    <t>移動量</t>
    <rPh sb="0" eb="3">
      <t>イドウリョウ</t>
    </rPh>
    <phoneticPr fontId="2"/>
  </si>
  <si>
    <t>速度</t>
    <rPh sb="0" eb="2">
      <t>ソクド</t>
    </rPh>
    <phoneticPr fontId="2"/>
  </si>
  <si>
    <t>DEC</t>
    <phoneticPr fontId="2"/>
  </si>
  <si>
    <t>HEX</t>
    <phoneticPr fontId="2"/>
  </si>
  <si>
    <t>((Now G0 Level - Target G0 Level) ＞＝ 0)の場合の電流閾値</t>
  </si>
  <si>
    <t>((Now G0 Level - Target G0 Level) &lt; 0)の場合の電流閾値</t>
    <rPh sb="39" eb="41">
      <t>バアイ</t>
    </rPh>
    <rPh sb="42" eb="44">
      <t>デンリュウ</t>
    </rPh>
    <rPh sb="44" eb="46">
      <t>シキイチ</t>
    </rPh>
    <phoneticPr fontId="2"/>
  </si>
  <si>
    <t>AutoCut 設定</t>
    <rPh sb="8" eb="10">
      <t>セッテイ</t>
    </rPh>
    <phoneticPr fontId="2"/>
  </si>
  <si>
    <t>Cut KA2</t>
    <phoneticPr fontId="2"/>
  </si>
  <si>
    <t>uA</t>
    <phoneticPr fontId="2"/>
  </si>
  <si>
    <t>AC Set Rate</t>
    <phoneticPr fontId="2"/>
  </si>
  <si>
    <t>AC Set Rate 0</t>
    <phoneticPr fontId="2"/>
  </si>
  <si>
    <t>AC Set Rate 1</t>
    <phoneticPr fontId="2"/>
  </si>
  <si>
    <t>AC Set Rate 2</t>
    <phoneticPr fontId="2"/>
  </si>
  <si>
    <t>AC Set Rate 3</t>
    <phoneticPr fontId="2"/>
  </si>
  <si>
    <t>AC Set Rate 4</t>
    <phoneticPr fontId="2"/>
  </si>
  <si>
    <t>AC Set Rate 5</t>
    <phoneticPr fontId="2"/>
  </si>
  <si>
    <t>AC Set Rate 6</t>
    <phoneticPr fontId="2"/>
  </si>
  <si>
    <t>AC Set Rate 7</t>
    <phoneticPr fontId="2"/>
  </si>
  <si>
    <t>AC Max time
※ 目標電流値へ到達できなかった場合にAutoCutを諦めるまでの時間</t>
    <rPh sb="14" eb="16">
      <t>モクヒョウ</t>
    </rPh>
    <rPh sb="16" eb="19">
      <t>デンリュウチ</t>
    </rPh>
    <rPh sb="20" eb="22">
      <t>トウタツ</t>
    </rPh>
    <rPh sb="28" eb="30">
      <t>バアイ</t>
    </rPh>
    <rPh sb="39" eb="40">
      <t>アキラ</t>
    </rPh>
    <rPh sb="45" eb="47">
      <t>ジカン</t>
    </rPh>
    <phoneticPr fontId="2"/>
  </si>
  <si>
    <t>Cut KA2 AD値</t>
    <rPh sb="10" eb="11">
      <t>チ</t>
    </rPh>
    <phoneticPr fontId="2"/>
  </si>
  <si>
    <t>AC nG0 Thd</t>
    <phoneticPr fontId="2"/>
  </si>
  <si>
    <t>内容
※ 電流値 AD値の昇順に記載</t>
    <rPh sb="0" eb="2">
      <t>ナイヨウ</t>
    </rPh>
    <rPh sb="13" eb="15">
      <t>ショウジュン</t>
    </rPh>
    <rPh sb="16" eb="18">
      <t>キサイ</t>
    </rPh>
    <phoneticPr fontId="2"/>
  </si>
  <si>
    <t>AC Set Rate 7</t>
  </si>
  <si>
    <t>AC Set Rate 6</t>
  </si>
  <si>
    <t>AC Set Rate 5</t>
  </si>
  <si>
    <t>AC Set Rate 4</t>
  </si>
  <si>
    <t>AC Set Rate 3</t>
  </si>
  <si>
    <t>AC Set Rate 2</t>
  </si>
  <si>
    <t>AC Set Rate 1</t>
  </si>
  <si>
    <t>AC Set Rate 0</t>
  </si>
  <si>
    <t>Calibration 設定</t>
    <rPh sb="12" eb="14">
      <t>セッテイ</t>
    </rPh>
    <phoneticPr fontId="2"/>
  </si>
  <si>
    <t>UP limit I</t>
    <phoneticPr fontId="2"/>
  </si>
  <si>
    <t>pA</t>
    <phoneticPr fontId="2"/>
  </si>
  <si>
    <t>Down limit I</t>
    <phoneticPr fontId="2"/>
  </si>
  <si>
    <t>CAL Piezo Speed</t>
    <phoneticPr fontId="2"/>
  </si>
  <si>
    <t>CAL Set Rate</t>
    <phoneticPr fontId="2"/>
  </si>
  <si>
    <t>ExpandGap 設定</t>
    <rPh sb="10" eb="12">
      <t>セッテイ</t>
    </rPh>
    <phoneticPr fontId="2"/>
  </si>
  <si>
    <t>EG Delta</t>
    <phoneticPr fontId="2"/>
  </si>
  <si>
    <t>nm</t>
    <phoneticPr fontId="2"/>
  </si>
  <si>
    <t>Set LG Delta D</t>
    <phoneticPr fontId="2"/>
  </si>
  <si>
    <t>EG Stable Current Range</t>
    <phoneticPr fontId="2"/>
  </si>
  <si>
    <t>Pset Thre (pA)</t>
    <phoneticPr fontId="2"/>
  </si>
  <si>
    <t>EG Stable Current Count</t>
    <phoneticPr fontId="2"/>
  </si>
  <si>
    <t>回</t>
    <rPh sb="0" eb="1">
      <t>カイ</t>
    </rPh>
    <phoneticPr fontId="2"/>
  </si>
  <si>
    <t>Pset Time Thre</t>
    <phoneticPr fontId="2"/>
  </si>
  <si>
    <t>MCBJ終了時点での電極間距離に加算する距離</t>
    <rPh sb="4" eb="8">
      <t>シュウリョウジテン</t>
    </rPh>
    <rPh sb="10" eb="12">
      <t>デンキョク</t>
    </rPh>
    <rPh sb="12" eb="13">
      <t>カン</t>
    </rPh>
    <rPh sb="13" eb="15">
      <t>キョリ</t>
    </rPh>
    <rPh sb="16" eb="18">
      <t>カサン</t>
    </rPh>
    <rPh sb="20" eb="22">
      <t>キョリ</t>
    </rPh>
    <phoneticPr fontId="2"/>
  </si>
  <si>
    <t>pm</t>
    <phoneticPr fontId="2"/>
  </si>
  <si>
    <t>有効電流範囲(AD値)</t>
    <rPh sb="0" eb="6">
      <t>ユウコウデンリュウハンイ</t>
    </rPh>
    <rPh sb="9" eb="10">
      <t>チ</t>
    </rPh>
    <phoneticPr fontId="2"/>
  </si>
  <si>
    <t>Tunnel Current</t>
    <phoneticPr fontId="2"/>
  </si>
  <si>
    <t>Tunnel Current(Target I)</t>
    <phoneticPr fontId="2"/>
  </si>
  <si>
    <t>HoldGap 設定</t>
    <rPh sb="8" eb="10">
      <t>セッテイ</t>
    </rPh>
    <phoneticPr fontId="2"/>
  </si>
  <si>
    <t>Tunnel Current(AD値)</t>
    <rPh sb="17" eb="18">
      <t>チ</t>
    </rPh>
    <phoneticPr fontId="2"/>
  </si>
  <si>
    <t>周期Gain</t>
    <rPh sb="0" eb="2">
      <t>シュウキ</t>
    </rPh>
    <phoneticPr fontId="2"/>
  </si>
  <si>
    <t>移動量(nm)</t>
    <rPh sb="0" eb="3">
      <t>イドウリョウ</t>
    </rPh>
    <phoneticPr fontId="2"/>
  </si>
  <si>
    <t>速度(nm/sec)</t>
    <phoneticPr fontId="2"/>
  </si>
  <si>
    <t>Gain</t>
    <phoneticPr fontId="2"/>
  </si>
  <si>
    <t>Lift Distance</t>
    <phoneticPr fontId="2"/>
  </si>
  <si>
    <t>Frequency</t>
    <phoneticPr fontId="2"/>
  </si>
  <si>
    <t>ms</t>
    <phoneticPr fontId="2"/>
  </si>
  <si>
    <t>Base Lift Cycle</t>
    <phoneticPr fontId="2"/>
  </si>
  <si>
    <t>Cycle Gain</t>
    <phoneticPr fontId="2"/>
  </si>
  <si>
    <t>PCluster_Gain</t>
    <phoneticPr fontId="2"/>
  </si>
  <si>
    <t>Tunnel Current &lt;= 1</t>
    <phoneticPr fontId="2"/>
  </si>
  <si>
    <t>MAX</t>
    <phoneticPr fontId="2"/>
  </si>
  <si>
    <t>駆動周期(ms)
※ 駆動周期 ＋ 49ms の誤差あり</t>
    <rPh sb="0" eb="4">
      <t>クドウシュウキ</t>
    </rPh>
    <phoneticPr fontId="2"/>
  </si>
  <si>
    <t>目標電流値と現在電流値の差の閾値(pA)</t>
    <rPh sb="14" eb="16">
      <t>シキイチ</t>
    </rPh>
    <phoneticPr fontId="2"/>
  </si>
  <si>
    <t>目標電流値と現在電流値の差の閾値(AD値)</t>
    <rPh sb="0" eb="2">
      <t>モクヒョウ</t>
    </rPh>
    <rPh sb="2" eb="4">
      <t>デンリュウ</t>
    </rPh>
    <rPh sb="4" eb="5">
      <t>チ</t>
    </rPh>
    <rPh sb="6" eb="8">
      <t>ゲンザイ</t>
    </rPh>
    <rPh sb="8" eb="10">
      <t>デンリュウ</t>
    </rPh>
    <rPh sb="10" eb="11">
      <t>チ</t>
    </rPh>
    <rPh sb="12" eb="13">
      <t>サ</t>
    </rPh>
    <rPh sb="14" eb="16">
      <t>シキイチ</t>
    </rPh>
    <rPh sb="19" eb="20">
      <t>チ</t>
    </rPh>
    <phoneticPr fontId="2"/>
  </si>
  <si>
    <t>目標電流値と現在電流値の差 &lt; 0.3pA</t>
  </si>
  <si>
    <t>0.3pA &lt;= 目標電流値と現在電流値の差 &lt; 1pA</t>
  </si>
  <si>
    <t>1pA &lt;= 目標電流値と現在電流値の差 &lt; 3pA</t>
    <rPh sb="13" eb="15">
      <t>ゲンザイ</t>
    </rPh>
    <rPh sb="15" eb="17">
      <t>デンリュウ</t>
    </rPh>
    <rPh sb="17" eb="18">
      <t>チ</t>
    </rPh>
    <rPh sb="19" eb="20">
      <t>サ</t>
    </rPh>
    <phoneticPr fontId="2"/>
  </si>
  <si>
    <t>3pA &lt;= 目標電流値と現在電流値の差 &lt; 20pA</t>
    <rPh sb="13" eb="15">
      <t>ゲンザイ</t>
    </rPh>
    <rPh sb="15" eb="17">
      <t>デンリュウ</t>
    </rPh>
    <rPh sb="17" eb="18">
      <t>チ</t>
    </rPh>
    <rPh sb="19" eb="20">
      <t>サ</t>
    </rPh>
    <phoneticPr fontId="2"/>
  </si>
  <si>
    <t>20pA &lt;= 目標電流値と現在電流値の差</t>
    <rPh sb="14" eb="16">
      <t>ゲンザイ</t>
    </rPh>
    <rPh sb="16" eb="18">
      <t>デンリュウ</t>
    </rPh>
    <rPh sb="18" eb="19">
      <t>チ</t>
    </rPh>
    <rPh sb="20" eb="21">
      <t>サ</t>
    </rPh>
    <phoneticPr fontId="2"/>
  </si>
  <si>
    <t>10 &lt; Tunnel Current</t>
    <phoneticPr fontId="2"/>
  </si>
  <si>
    <t>1 &lt; Tunnel Current &lt;= 3</t>
    <phoneticPr fontId="2"/>
  </si>
  <si>
    <t>3 &lt; Tunnel Current &lt;= 5</t>
    <phoneticPr fontId="2"/>
  </si>
  <si>
    <t>5 &lt; Tunnel Current &lt;= 10</t>
    <phoneticPr fontId="2"/>
  </si>
  <si>
    <t>1uA 当たりの AD 値</t>
    <rPh sb="4" eb="5">
      <t>ア</t>
    </rPh>
    <rPh sb="12" eb="13">
      <t>チ</t>
    </rPh>
    <phoneticPr fontId="2"/>
  </si>
  <si>
    <t>1pA 当たりの AD 値</t>
    <rPh sb="4" eb="5">
      <t>ア</t>
    </rPh>
    <rPh sb="12" eb="13">
      <t>アタイ</t>
    </rPh>
    <phoneticPr fontId="2"/>
  </si>
  <si>
    <t xml:space="preserve"> [S] または [1/Ω]</t>
    <phoneticPr fontId="2"/>
  </si>
  <si>
    <t>量子コンダクタンス G0 (=2e^2 /h)</t>
    <rPh sb="0" eb="2">
      <t>リョウシ</t>
    </rPh>
    <phoneticPr fontId="2"/>
  </si>
  <si>
    <t>初段増幅回路入力抵抗（R205）値</t>
    <rPh sb="0" eb="2">
      <t>ショダン</t>
    </rPh>
    <rPh sb="2" eb="4">
      <t>ゾウフク</t>
    </rPh>
    <rPh sb="4" eb="6">
      <t>カイロ</t>
    </rPh>
    <rPh sb="6" eb="8">
      <t>ニュウリョク</t>
    </rPh>
    <rPh sb="8" eb="10">
      <t>テイコウ</t>
    </rPh>
    <rPh sb="16" eb="17">
      <t>アタイ</t>
    </rPh>
    <phoneticPr fontId="2"/>
  </si>
  <si>
    <t>Ω</t>
    <phoneticPr fontId="2"/>
  </si>
  <si>
    <t>-</t>
    <phoneticPr fontId="2"/>
  </si>
  <si>
    <t>V</t>
    <phoneticPr fontId="2"/>
  </si>
  <si>
    <t>Bias</t>
    <phoneticPr fontId="2"/>
  </si>
  <si>
    <t>Gn (S)</t>
    <phoneticPr fontId="2"/>
  </si>
  <si>
    <t>総入力抵抗 (Ω)</t>
    <rPh sb="0" eb="1">
      <t>ソウ</t>
    </rPh>
    <rPh sb="1" eb="3">
      <t>ニュウリョク</t>
    </rPh>
    <rPh sb="3" eb="5">
      <t>テイコウ</t>
    </rPh>
    <phoneticPr fontId="2"/>
  </si>
  <si>
    <t>電流値 (uA)</t>
    <rPh sb="0" eb="2">
      <t>デンリュウ</t>
    </rPh>
    <rPh sb="2" eb="3">
      <t>アタイ</t>
    </rPh>
    <phoneticPr fontId="2"/>
  </si>
  <si>
    <t>初期値</t>
    <rPh sb="0" eb="2">
      <t>ショキ</t>
    </rPh>
    <rPh sb="2" eb="3">
      <t>アタイ</t>
    </rPh>
    <phoneticPr fontId="2"/>
  </si>
  <si>
    <t>初期値</t>
    <rPh sb="0" eb="3">
      <t>ショキチ</t>
    </rPh>
    <phoneticPr fontId="2"/>
  </si>
  <si>
    <t>0.66(nm)</t>
    <phoneticPr fontId="2"/>
  </si>
  <si>
    <t>0.62(nm)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</si>
</sst>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</font>
    <font>
      <sz val="20"/>
      <color theme="1"/>
      <name val="Meiryo UI"/>
      <family val="3"/>
    </font>
    <font>
      <sz val="9"/>
      <color indexed="8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3" fillId="2" borderId="1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5" borderId="1" xfId="1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5" borderId="2" xfId="1" applyFont="1" applyFill="1" applyBorder="1">
      <alignment vertical="center"/>
    </xf>
    <xf numFmtId="0" fontId="4" fillId="0" borderId="0" xfId="0" applyFont="1">
      <alignment vertical="center"/>
    </xf>
    <xf numFmtId="0" fontId="3" fillId="6" borderId="0" xfId="0" applyFont="1" applyFill="1">
      <alignment vertical="center"/>
    </xf>
    <xf numFmtId="0" fontId="5" fillId="0" borderId="0" xfId="0" applyFont="1">
      <alignment vertical="center"/>
    </xf>
    <xf numFmtId="0" fontId="3" fillId="2" borderId="6" xfId="1" applyFont="1" applyFill="1" applyBorder="1">
      <alignment vertical="center"/>
    </xf>
    <xf numFmtId="0" fontId="6" fillId="0" borderId="0" xfId="0" applyFont="1">
      <alignment vertical="center"/>
    </xf>
    <xf numFmtId="0" fontId="6" fillId="6" borderId="0" xfId="0" applyFont="1" applyFill="1">
      <alignment vertical="center"/>
    </xf>
    <xf numFmtId="0" fontId="7" fillId="0" borderId="0" xfId="0" applyFont="1">
      <alignment vertical="center"/>
    </xf>
    <xf numFmtId="0" fontId="6" fillId="2" borderId="1" xfId="1" applyFont="1" applyFill="1" applyBorder="1">
      <alignment vertical="center"/>
    </xf>
    <xf numFmtId="0" fontId="6" fillId="0" borderId="1" xfId="0" applyFont="1" applyBorder="1">
      <alignment vertical="center"/>
    </xf>
    <xf numFmtId="0" fontId="6" fillId="5" borderId="1" xfId="1" applyFont="1" applyFill="1" applyBorder="1">
      <alignment vertical="center"/>
    </xf>
    <xf numFmtId="0" fontId="6" fillId="5" borderId="2" xfId="1" applyFont="1" applyFill="1" applyBorder="1">
      <alignment vertical="center"/>
    </xf>
    <xf numFmtId="0" fontId="6" fillId="4" borderId="1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3" xfId="1" applyFont="1" applyFill="1" applyBorder="1" applyAlignment="1">
      <alignment horizontal="left" vertical="top"/>
    </xf>
    <xf numFmtId="0" fontId="3" fillId="2" borderId="3" xfId="1" applyFont="1" applyFill="1" applyBorder="1" applyAlignment="1">
      <alignment vertical="top"/>
    </xf>
    <xf numFmtId="0" fontId="3" fillId="2" borderId="9" xfId="1" applyFont="1" applyFill="1" applyBorder="1" applyAlignment="1">
      <alignment vertical="top" wrapText="1"/>
    </xf>
    <xf numFmtId="0" fontId="3" fillId="2" borderId="1" xfId="1" applyFont="1" applyFill="1" applyBorder="1" applyAlignment="1">
      <alignment vertical="top" wrapText="1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top"/>
    </xf>
    <xf numFmtId="0" fontId="3" fillId="4" borderId="13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4" borderId="16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3" fillId="2" borderId="8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3" fillId="4" borderId="4" xfId="0" applyFont="1" applyFill="1" applyBorder="1">
      <alignment vertical="center"/>
    </xf>
    <xf numFmtId="0" fontId="3" fillId="2" borderId="5" xfId="1" applyFont="1" applyFill="1" applyBorder="1" applyAlignment="1">
      <alignment horizontal="left" vertical="top" wrapText="1"/>
    </xf>
    <xf numFmtId="0" fontId="3" fillId="2" borderId="6" xfId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4" xfId="1" applyFont="1" applyFill="1" applyBorder="1" applyAlignment="1">
      <alignment horizontal="left" vertical="top" wrapText="1"/>
    </xf>
    <xf numFmtId="0" fontId="3" fillId="2" borderId="3" xfId="1" applyFont="1" applyFill="1" applyBorder="1" applyAlignment="1">
      <alignment horizontal="left" vertical="top" wrapText="1"/>
    </xf>
    <xf numFmtId="0" fontId="3" fillId="2" borderId="2" xfId="1" applyFont="1" applyFill="1" applyBorder="1" applyAlignment="1">
      <alignment horizontal="left" vertical="top"/>
    </xf>
    <xf numFmtId="0" fontId="6" fillId="2" borderId="3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top"/>
    </xf>
    <xf numFmtId="0" fontId="3" fillId="2" borderId="17" xfId="0" applyFont="1" applyFill="1" applyBorder="1" applyAlignment="1">
      <alignment horizontal="left" vertical="top"/>
    </xf>
    <xf numFmtId="0" fontId="3" fillId="2" borderId="3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horizontal="left" vertical="top"/>
    </xf>
    <xf numFmtId="0" fontId="3" fillId="2" borderId="5" xfId="1" applyFont="1" applyFill="1" applyBorder="1" applyAlignment="1">
      <alignment horizontal="left" vertical="top"/>
    </xf>
    <xf numFmtId="0" fontId="3" fillId="2" borderId="6" xfId="1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/>
    </xf>
    <xf numFmtId="0" fontId="3" fillId="2" borderId="11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2" borderId="4" xfId="1" applyFont="1" applyFill="1" applyBorder="1" applyAlignment="1">
      <alignment horizontal="left" vertical="top"/>
    </xf>
    <xf numFmtId="0" fontId="6" fillId="2" borderId="5" xfId="1" applyFont="1" applyFill="1" applyBorder="1" applyAlignment="1">
      <alignment horizontal="left" vertical="top"/>
    </xf>
    <xf numFmtId="0" fontId="6" fillId="2" borderId="6" xfId="1" applyFont="1" applyFill="1" applyBorder="1" applyAlignment="1">
      <alignment horizontal="left" vertical="top"/>
    </xf>
  </cellXfs>
  <cellStyles count="2">
    <cellStyle name="標準" xfId="0" builtinId="0"/>
    <cellStyle name="標準 2 4" xfId="1" xr:uid="{0F37A697-B3DC-45CA-B81F-C4F99D0BC24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2</xdr:row>
      <xdr:rowOff>0</xdr:rowOff>
    </xdr:from>
    <xdr:to>
      <xdr:col>16</xdr:col>
      <xdr:colOff>136420</xdr:colOff>
      <xdr:row>21</xdr:row>
      <xdr:rowOff>171450</xdr:rowOff>
    </xdr:to>
    <xdr:pic>
      <xdr:nvPicPr>
        <xdr:cNvPr id="144" name="図 10">
          <a:extLst>
            <a:ext uri="{FF2B5EF4-FFF2-40B4-BE49-F238E27FC236}">
              <a16:creationId xmlns:a16="http://schemas.microsoft.com/office/drawing/2014/main" id="{905CE9B7-F171-4664-312C-CB5481AEA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781050"/>
          <a:ext cx="5565670" cy="37909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10</xdr:col>
      <xdr:colOff>400050</xdr:colOff>
      <xdr:row>5</xdr:row>
      <xdr:rowOff>123825</xdr:rowOff>
    </xdr:from>
    <xdr:to>
      <xdr:col>11</xdr:col>
      <xdr:colOff>619125</xdr:colOff>
      <xdr:row>8</xdr:row>
      <xdr:rowOff>95250</xdr:rowOff>
    </xdr:to>
    <xdr:sp macro="" textlink="">
      <xdr:nvSpPr>
        <xdr:cNvPr id="145" name="四角形: 角を丸くする 11">
          <a:extLst>
            <a:ext uri="{FF2B5EF4-FFF2-40B4-BE49-F238E27FC236}">
              <a16:creationId xmlns:a16="http://schemas.microsoft.com/office/drawing/2014/main" id="{61BB9B68-E146-581E-D13E-B6D6902E6BFC}"/>
            </a:ext>
          </a:extLst>
        </xdr:cNvPr>
        <xdr:cNvSpPr/>
      </xdr:nvSpPr>
      <xdr:spPr>
        <a:xfrm>
          <a:off x="7600950" y="1524000"/>
          <a:ext cx="904875" cy="5715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12</xdr:col>
      <xdr:colOff>171449</xdr:colOff>
      <xdr:row>5</xdr:row>
      <xdr:rowOff>133350</xdr:rowOff>
    </xdr:from>
    <xdr:to>
      <xdr:col>14</xdr:col>
      <xdr:colOff>239849</xdr:colOff>
      <xdr:row>7</xdr:row>
      <xdr:rowOff>95400</xdr:rowOff>
    </xdr:to>
    <xdr:sp macro="" textlink="">
      <xdr:nvSpPr>
        <xdr:cNvPr id="146" name="吹き出し: 角を丸めた四角形 12">
          <a:extLst>
            <a:ext uri="{FF2B5EF4-FFF2-40B4-BE49-F238E27FC236}">
              <a16:creationId xmlns:a16="http://schemas.microsoft.com/office/drawing/2014/main" id="{9ADEC1A2-4C14-4844-9ECA-32848D9C7DF8}"/>
            </a:ext>
          </a:extLst>
        </xdr:cNvPr>
        <xdr:cNvSpPr/>
      </xdr:nvSpPr>
      <xdr:spPr>
        <a:xfrm>
          <a:off x="8743949" y="1533525"/>
          <a:ext cx="1440000" cy="343050"/>
        </a:xfrm>
        <a:prstGeom prst="wedgeRoundRectCallout">
          <a:avLst>
            <a:gd name="adj1" fmla="val -63543"/>
            <a:gd name="adj2" fmla="val -14548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ここのみ書き換え</a:t>
          </a:r>
        </a:p>
      </xdr:txBody>
    </xdr:sp>
    <xdr:clientData/>
  </xdr:twoCellAnchor>
  <xdr:twoCellAnchor editAs="oneCell">
    <xdr:from>
      <xdr:col>10</xdr:col>
      <xdr:colOff>85722</xdr:colOff>
      <xdr:row>13</xdr:row>
      <xdr:rowOff>104775</xdr:rowOff>
    </xdr:from>
    <xdr:to>
      <xdr:col>13</xdr:col>
      <xdr:colOff>260322</xdr:colOff>
      <xdr:row>15</xdr:row>
      <xdr:rowOff>66825</xdr:rowOff>
    </xdr:to>
    <xdr:sp macro="" textlink="">
      <xdr:nvSpPr>
        <xdr:cNvPr id="147" name="吹き出し: 角を丸めた四角形 13">
          <a:extLst>
            <a:ext uri="{FF2B5EF4-FFF2-40B4-BE49-F238E27FC236}">
              <a16:creationId xmlns:a16="http://schemas.microsoft.com/office/drawing/2014/main" id="{47B0F873-910B-456D-8898-412128EE9BCE}"/>
            </a:ext>
          </a:extLst>
        </xdr:cNvPr>
        <xdr:cNvSpPr/>
      </xdr:nvSpPr>
      <xdr:spPr>
        <a:xfrm>
          <a:off x="7286622" y="3105150"/>
          <a:ext cx="2232000" cy="362100"/>
        </a:xfrm>
        <a:prstGeom prst="wedgeRoundRectCallout">
          <a:avLst>
            <a:gd name="adj1" fmla="val -63543"/>
            <a:gd name="adj2" fmla="val -14548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ここより下は書き換えないでください</a:t>
          </a:r>
        </a:p>
      </xdr:txBody>
    </xdr:sp>
    <xdr:clientData/>
  </xdr:twoCellAnchor>
  <xdr:twoCellAnchor editAs="oneCell">
    <xdr:from>
      <xdr:col>8</xdr:col>
      <xdr:colOff>57150</xdr:colOff>
      <xdr:row>34</xdr:row>
      <xdr:rowOff>123825</xdr:rowOff>
    </xdr:from>
    <xdr:to>
      <xdr:col>14</xdr:col>
      <xdr:colOff>667409</xdr:colOff>
      <xdr:row>54</xdr:row>
      <xdr:rowOff>181515</xdr:rowOff>
    </xdr:to>
    <xdr:pic>
      <xdr:nvPicPr>
        <xdr:cNvPr id="159" name="図 2">
          <a:extLst>
            <a:ext uri="{FF2B5EF4-FFF2-40B4-BE49-F238E27FC236}">
              <a16:creationId xmlns:a16="http://schemas.microsoft.com/office/drawing/2014/main" id="{38828F9A-650A-1286-2D7B-6960A1B2E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7324725"/>
          <a:ext cx="4725059" cy="38676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57150</xdr:colOff>
      <xdr:row>23</xdr:row>
      <xdr:rowOff>0</xdr:rowOff>
    </xdr:from>
    <xdr:to>
      <xdr:col>13</xdr:col>
      <xdr:colOff>667314</xdr:colOff>
      <xdr:row>33</xdr:row>
      <xdr:rowOff>28845</xdr:rowOff>
    </xdr:to>
    <xdr:pic>
      <xdr:nvPicPr>
        <xdr:cNvPr id="149" name="図 9">
          <a:extLst>
            <a:ext uri="{FF2B5EF4-FFF2-40B4-BE49-F238E27FC236}">
              <a16:creationId xmlns:a16="http://schemas.microsoft.com/office/drawing/2014/main" id="{10BD2324-E318-52D2-E16F-F08E8AF47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6450" y="5000625"/>
          <a:ext cx="4039164" cy="19338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10</xdr:col>
      <xdr:colOff>428625</xdr:colOff>
      <xdr:row>27</xdr:row>
      <xdr:rowOff>190500</xdr:rowOff>
    </xdr:from>
    <xdr:to>
      <xdr:col>11</xdr:col>
      <xdr:colOff>85725</xdr:colOff>
      <xdr:row>31</xdr:row>
      <xdr:rowOff>57150</xdr:rowOff>
    </xdr:to>
    <xdr:sp macro="" textlink="">
      <xdr:nvSpPr>
        <xdr:cNvPr id="150" name="矢印: 上カーブ 10">
          <a:extLst>
            <a:ext uri="{FF2B5EF4-FFF2-40B4-BE49-F238E27FC236}">
              <a16:creationId xmlns:a16="http://schemas.microsoft.com/office/drawing/2014/main" id="{2E0AAE13-90A6-B2BD-7247-766D00F767EE}"/>
            </a:ext>
          </a:extLst>
        </xdr:cNvPr>
        <xdr:cNvSpPr/>
      </xdr:nvSpPr>
      <xdr:spPr>
        <a:xfrm rot="16200000">
          <a:off x="7467600" y="6153150"/>
          <a:ext cx="666750" cy="342900"/>
        </a:xfrm>
        <a:prstGeom prst="curvedUpArrow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22</xdr:col>
      <xdr:colOff>446590</xdr:colOff>
      <xdr:row>9</xdr:row>
      <xdr:rowOff>56993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714EBD8-11EB-3C81-AADB-2BABFD041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1025" y="762000"/>
          <a:ext cx="8676190" cy="12571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B216-F57A-4ADA-9CB6-8190F406F2A2}">
  <dimension ref="B3:C56"/>
  <sheetViews>
    <sheetView showGridLines="0" tabSelected="1" workbookViewId="0"/>
  </sheetViews>
  <sheetFormatPr defaultColWidth="9" defaultRowHeight="15" x14ac:dyDescent="0.45"/>
  <cols>
    <col min="1" max="1" width="3.69921875" style="5" customWidth="1"/>
    <col min="2" max="2" width="8.8984375" style="5" customWidth="1"/>
    <col min="3" max="3" width="18.8984375" style="5" bestFit="1" customWidth="1"/>
    <col min="4" max="16384" width="9" style="5"/>
  </cols>
  <sheetData>
    <row r="3" spans="2:3" x14ac:dyDescent="0.45">
      <c r="B3" s="5">
        <v>1</v>
      </c>
      <c r="C3" s="5" t="s">
        <v>0</v>
      </c>
    </row>
    <row r="4" spans="2:3" x14ac:dyDescent="0.45">
      <c r="C4" s="5" t="s">
        <v>1</v>
      </c>
    </row>
    <row r="5" spans="2:3" x14ac:dyDescent="0.45">
      <c r="C5" s="1" t="s">
        <v>2</v>
      </c>
    </row>
    <row r="6" spans="2:3" x14ac:dyDescent="0.45">
      <c r="C6" s="2" t="s">
        <v>3</v>
      </c>
    </row>
    <row r="7" spans="2:3" x14ac:dyDescent="0.45">
      <c r="C7" s="3" t="s">
        <v>4</v>
      </c>
    </row>
    <row r="8" spans="2:3" x14ac:dyDescent="0.45">
      <c r="C8" s="4" t="s">
        <v>5</v>
      </c>
    </row>
    <row r="9" spans="2:3" x14ac:dyDescent="0.45">
      <c r="C9" s="6" t="s">
        <v>6</v>
      </c>
    </row>
    <row r="10" spans="2:3" x14ac:dyDescent="0.45">
      <c r="C10" s="10" t="s">
        <v>7</v>
      </c>
    </row>
    <row r="11" spans="2:3" x14ac:dyDescent="0.45">
      <c r="C11" s="10"/>
    </row>
    <row r="12" spans="2:3" x14ac:dyDescent="0.45">
      <c r="C12" s="10"/>
    </row>
    <row r="13" spans="2:3" x14ac:dyDescent="0.45">
      <c r="C13" s="10"/>
    </row>
    <row r="14" spans="2:3" x14ac:dyDescent="0.45">
      <c r="C14" s="10"/>
    </row>
    <row r="15" spans="2:3" x14ac:dyDescent="0.45">
      <c r="C15" s="10"/>
    </row>
    <row r="16" spans="2:3" x14ac:dyDescent="0.45">
      <c r="C16" s="10"/>
    </row>
    <row r="17" spans="2:3" x14ac:dyDescent="0.45">
      <c r="C17" s="10"/>
    </row>
    <row r="18" spans="2:3" x14ac:dyDescent="0.45">
      <c r="C18" s="10"/>
    </row>
    <row r="19" spans="2:3" x14ac:dyDescent="0.45">
      <c r="C19" s="10"/>
    </row>
    <row r="20" spans="2:3" x14ac:dyDescent="0.45">
      <c r="C20" s="10"/>
    </row>
    <row r="21" spans="2:3" x14ac:dyDescent="0.45">
      <c r="C21" s="10"/>
    </row>
    <row r="22" spans="2:3" x14ac:dyDescent="0.45">
      <c r="C22" s="10"/>
    </row>
    <row r="23" spans="2:3" x14ac:dyDescent="0.45">
      <c r="B23" s="5">
        <v>2</v>
      </c>
      <c r="C23" s="5" t="s">
        <v>8</v>
      </c>
    </row>
    <row r="24" spans="2:3" x14ac:dyDescent="0.45">
      <c r="C24" s="5" t="s">
        <v>9</v>
      </c>
    </row>
    <row r="35" spans="2:3" x14ac:dyDescent="0.45">
      <c r="B35" s="5">
        <v>3</v>
      </c>
      <c r="C35" s="5" t="s">
        <v>10</v>
      </c>
    </row>
    <row r="36" spans="2:3" x14ac:dyDescent="0.45">
      <c r="C36" s="5" t="s">
        <v>11</v>
      </c>
    </row>
    <row r="38" spans="2:3" s="12" customFormat="1" x14ac:dyDescent="0.45"/>
    <row r="56" spans="2:3" x14ac:dyDescent="0.45">
      <c r="B56" s="12">
        <v>4</v>
      </c>
      <c r="C56" s="12" t="s">
        <v>12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F322-0344-4C36-9CD2-267482A5515C}">
  <dimension ref="A2:F24"/>
  <sheetViews>
    <sheetView showGridLines="0" workbookViewId="0"/>
  </sheetViews>
  <sheetFormatPr defaultColWidth="9" defaultRowHeight="15" x14ac:dyDescent="0.45"/>
  <cols>
    <col min="1" max="1" width="7.09765625" style="5" bestFit="1" customWidth="1"/>
    <col min="2" max="2" width="17.3984375" style="5" bestFit="1" customWidth="1"/>
    <col min="3" max="3" width="12.59765625" style="5" bestFit="1" customWidth="1"/>
    <col min="4" max="4" width="12.69921875" style="5" bestFit="1" customWidth="1"/>
    <col min="5" max="5" width="9" style="5"/>
    <col min="6" max="6" width="16.5" style="5" bestFit="1" customWidth="1"/>
    <col min="7" max="16384" width="9" style="5"/>
  </cols>
  <sheetData>
    <row r="2" spans="1:6" ht="27" x14ac:dyDescent="0.45">
      <c r="B2" s="8" t="s">
        <v>13</v>
      </c>
    </row>
    <row r="3" spans="1:6" x14ac:dyDescent="0.45">
      <c r="F3" s="5" t="s">
        <v>14</v>
      </c>
    </row>
    <row r="4" spans="1:6" x14ac:dyDescent="0.45">
      <c r="B4" s="1" t="s">
        <v>15</v>
      </c>
      <c r="C4" s="6">
        <v>1000</v>
      </c>
      <c r="D4" s="4" t="s">
        <v>16</v>
      </c>
      <c r="F4" s="15" t="s">
        <v>17</v>
      </c>
    </row>
    <row r="5" spans="1:6" x14ac:dyDescent="0.45">
      <c r="B5" s="1" t="s">
        <v>18</v>
      </c>
      <c r="C5" s="6">
        <v>38</v>
      </c>
      <c r="D5" s="4" t="s">
        <v>16</v>
      </c>
      <c r="F5" s="15" t="s">
        <v>19</v>
      </c>
    </row>
    <row r="6" spans="1:6" x14ac:dyDescent="0.45">
      <c r="B6" s="1" t="s">
        <v>20</v>
      </c>
      <c r="C6" s="6">
        <v>0.1</v>
      </c>
      <c r="D6" s="7" t="s">
        <v>21</v>
      </c>
      <c r="F6" s="15" t="s">
        <v>20</v>
      </c>
    </row>
    <row r="7" spans="1:6" x14ac:dyDescent="0.45">
      <c r="B7" s="1" t="s">
        <v>22</v>
      </c>
      <c r="C7" s="6">
        <v>10</v>
      </c>
      <c r="D7" s="7" t="s">
        <v>23</v>
      </c>
      <c r="F7" s="15" t="s">
        <v>24</v>
      </c>
    </row>
    <row r="8" spans="1:6" x14ac:dyDescent="0.45">
      <c r="B8" s="1" t="s">
        <v>25</v>
      </c>
      <c r="C8" s="6">
        <v>380</v>
      </c>
      <c r="D8" s="7" t="s">
        <v>23</v>
      </c>
      <c r="F8" s="15" t="s">
        <v>26</v>
      </c>
    </row>
    <row r="9" spans="1:6" x14ac:dyDescent="0.45">
      <c r="B9" s="1" t="s">
        <v>27</v>
      </c>
      <c r="C9" s="6">
        <v>40</v>
      </c>
      <c r="D9" s="7" t="s">
        <v>23</v>
      </c>
      <c r="F9" s="15" t="s">
        <v>28</v>
      </c>
    </row>
    <row r="10" spans="1:6" x14ac:dyDescent="0.45">
      <c r="B10" s="1" t="s">
        <v>29</v>
      </c>
      <c r="C10" s="6">
        <v>380</v>
      </c>
      <c r="D10" s="7" t="s">
        <v>23</v>
      </c>
      <c r="F10" s="15" t="s">
        <v>26</v>
      </c>
    </row>
    <row r="11" spans="1:6" x14ac:dyDescent="0.45">
      <c r="B11" s="1" t="s">
        <v>30</v>
      </c>
      <c r="C11" s="6">
        <v>100</v>
      </c>
      <c r="D11" s="7" t="s">
        <v>23</v>
      </c>
      <c r="F11" s="15" t="s">
        <v>31</v>
      </c>
    </row>
    <row r="12" spans="1:6" x14ac:dyDescent="0.45">
      <c r="B12" s="1" t="s">
        <v>32</v>
      </c>
      <c r="C12" s="6">
        <v>380</v>
      </c>
      <c r="D12" s="7" t="s">
        <v>23</v>
      </c>
      <c r="F12" s="15" t="s">
        <v>26</v>
      </c>
    </row>
    <row r="14" spans="1:6" s="9" customFormat="1" x14ac:dyDescent="0.45">
      <c r="A14" s="9" t="s">
        <v>33</v>
      </c>
    </row>
    <row r="16" spans="1:6" x14ac:dyDescent="0.45">
      <c r="B16" s="15" t="s">
        <v>145</v>
      </c>
      <c r="C16" s="26">
        <v>42781900.7999999</v>
      </c>
    </row>
    <row r="17" spans="1:4" x14ac:dyDescent="0.45">
      <c r="B17" s="15" t="s">
        <v>34</v>
      </c>
      <c r="C17" s="19">
        <f>C6*C16</f>
        <v>4278190.0799999898</v>
      </c>
      <c r="D17" s="19" t="str">
        <f>"0x"&amp;DEC2HEX(C17,8)</f>
        <v>0x004147AE</v>
      </c>
    </row>
    <row r="19" spans="1:4" x14ac:dyDescent="0.45">
      <c r="A19" s="5" t="s">
        <v>35</v>
      </c>
      <c r="B19" s="5" t="str">
        <f>CONCATENATE("mcbj set fc up_limit ", C4*10)</f>
        <v>mcbj set fc up_limit 10000</v>
      </c>
    </row>
    <row r="20" spans="1:4" x14ac:dyDescent="0.45">
      <c r="A20" s="5" t="s">
        <v>35</v>
      </c>
      <c r="B20" s="5" t="str">
        <f>CONCATENATE("mcbj set fc last_down_distance ", C5*10)</f>
        <v>mcbj set fc last_down_distance 380</v>
      </c>
    </row>
    <row r="21" spans="1:4" x14ac:dyDescent="0.45">
      <c r="A21" s="5" t="s">
        <v>35</v>
      </c>
      <c r="B21" s="5" t="str">
        <f>CONCATENATE("mcbj set fc threshold ", D17)</f>
        <v>mcbj set fc threshold 0x004147AE</v>
      </c>
    </row>
    <row r="22" spans="1:4" x14ac:dyDescent="0.45">
      <c r="A22" s="5" t="s">
        <v>35</v>
      </c>
      <c r="B22" s="5" t="str">
        <f>CONCATENATE("mcbj set fc speed_table 0 ", C7*10, " ", C8*10)</f>
        <v>mcbj set fc speed_table 0 100 3800</v>
      </c>
    </row>
    <row r="23" spans="1:4" x14ac:dyDescent="0.45">
      <c r="A23" s="5" t="s">
        <v>35</v>
      </c>
      <c r="B23" s="5" t="str">
        <f>CONCATENATE("mcbj set fc speed_table 1 ", C9*10, " ", C10*10)</f>
        <v>mcbj set fc speed_table 1 400 3800</v>
      </c>
    </row>
    <row r="24" spans="1:4" x14ac:dyDescent="0.45">
      <c r="A24" s="5" t="s">
        <v>35</v>
      </c>
      <c r="B24" s="5" t="str">
        <f>CONCATENATE("mcbj set fc speed_table 2 ", C11*10, " ", C12*10)</f>
        <v>mcbj set fc speed_table 2 1000 3800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7F36-3D39-4C12-9F3E-5BF2AE5A4A5F}">
  <dimension ref="A2:F21"/>
  <sheetViews>
    <sheetView showGridLines="0" workbookViewId="0"/>
  </sheetViews>
  <sheetFormatPr defaultColWidth="9" defaultRowHeight="15" x14ac:dyDescent="0.45"/>
  <cols>
    <col min="1" max="1" width="7.09765625" style="5" bestFit="1" customWidth="1"/>
    <col min="2" max="2" width="20.59765625" style="5" customWidth="1"/>
    <col min="3" max="3" width="13.796875" style="5" bestFit="1" customWidth="1"/>
    <col min="4" max="4" width="12.8984375" style="5" bestFit="1" customWidth="1"/>
    <col min="5" max="5" width="9" style="5"/>
    <col min="6" max="6" width="11.8984375" style="5" bestFit="1" customWidth="1"/>
    <col min="7" max="16384" width="9" style="5"/>
  </cols>
  <sheetData>
    <row r="2" spans="1:6" ht="27" x14ac:dyDescent="0.45">
      <c r="B2" s="8" t="s">
        <v>36</v>
      </c>
    </row>
    <row r="3" spans="1:6" x14ac:dyDescent="0.45">
      <c r="F3" s="5" t="s">
        <v>14</v>
      </c>
    </row>
    <row r="4" spans="1:6" x14ac:dyDescent="0.45">
      <c r="B4" s="1" t="s">
        <v>37</v>
      </c>
      <c r="C4" s="6">
        <v>8</v>
      </c>
      <c r="D4" s="4" t="s">
        <v>21</v>
      </c>
      <c r="F4" s="15" t="s">
        <v>37</v>
      </c>
    </row>
    <row r="5" spans="1:6" x14ac:dyDescent="0.45">
      <c r="B5" s="1" t="s">
        <v>20</v>
      </c>
      <c r="C5" s="6">
        <v>0.1</v>
      </c>
      <c r="D5" s="4" t="s">
        <v>21</v>
      </c>
      <c r="F5" s="15" t="s">
        <v>20</v>
      </c>
    </row>
    <row r="6" spans="1:6" x14ac:dyDescent="0.45">
      <c r="B6" s="1" t="s">
        <v>38</v>
      </c>
      <c r="C6" s="6">
        <v>2</v>
      </c>
      <c r="D6" s="7" t="s">
        <v>23</v>
      </c>
      <c r="F6" s="15" t="s">
        <v>39</v>
      </c>
    </row>
    <row r="14" spans="1:6" s="9" customFormat="1" x14ac:dyDescent="0.45">
      <c r="A14" s="9" t="s">
        <v>33</v>
      </c>
    </row>
    <row r="16" spans="1:6" x14ac:dyDescent="0.45">
      <c r="B16" s="15" t="s">
        <v>145</v>
      </c>
      <c r="C16" s="26">
        <v>42781900.7999999</v>
      </c>
    </row>
    <row r="17" spans="1:4" x14ac:dyDescent="0.45">
      <c r="B17" s="1" t="s">
        <v>40</v>
      </c>
      <c r="C17" s="3">
        <f>C4*C16</f>
        <v>342255206.3999992</v>
      </c>
      <c r="D17" s="3" t="str">
        <f>"0x"&amp;DEC2HEX(C17,8)</f>
        <v>0x14666666</v>
      </c>
    </row>
    <row r="18" spans="1:4" x14ac:dyDescent="0.45">
      <c r="B18" s="1" t="s">
        <v>41</v>
      </c>
      <c r="C18" s="3">
        <f>C5*C16</f>
        <v>4278190.0799999898</v>
      </c>
      <c r="D18" s="3" t="str">
        <f>"0x"&amp;DEC2HEX(C18,8)</f>
        <v>0x004147AE</v>
      </c>
    </row>
    <row r="21" spans="1:4" x14ac:dyDescent="0.45">
      <c r="A21" s="5" t="s">
        <v>35</v>
      </c>
      <c r="B21" s="5" t="str">
        <f>CONCATENATE("mcbj set mt ROUGH ", D18, " ", D17, " ", C6*10)</f>
        <v>mcbj set mt ROUGH 0x004147AE 0x14666666 20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F126-5F60-484E-ACFB-3A1DFAEFC242}">
  <dimension ref="A2:H21"/>
  <sheetViews>
    <sheetView showGridLines="0" workbookViewId="0"/>
  </sheetViews>
  <sheetFormatPr defaultColWidth="9" defaultRowHeight="15" x14ac:dyDescent="0.45"/>
  <cols>
    <col min="1" max="1" width="7.09765625" style="5" bestFit="1" customWidth="1"/>
    <col min="2" max="2" width="20.59765625" style="5" customWidth="1"/>
    <col min="3" max="3" width="13.796875" style="5" bestFit="1" customWidth="1"/>
    <col min="4" max="4" width="12.8984375" style="5" bestFit="1" customWidth="1"/>
    <col min="5" max="5" width="9" style="5"/>
    <col min="6" max="6" width="11.8984375" style="5" bestFit="1" customWidth="1"/>
    <col min="7" max="16384" width="9" style="5"/>
  </cols>
  <sheetData>
    <row r="2" spans="1:8" ht="27" x14ac:dyDescent="0.45">
      <c r="B2" s="8" t="s">
        <v>42</v>
      </c>
    </row>
    <row r="3" spans="1:8" x14ac:dyDescent="0.45">
      <c r="F3" s="5" t="s">
        <v>14</v>
      </c>
      <c r="H3" s="5" t="s">
        <v>157</v>
      </c>
    </row>
    <row r="4" spans="1:8" x14ac:dyDescent="0.45">
      <c r="B4" s="1" t="s">
        <v>37</v>
      </c>
      <c r="C4" s="6">
        <v>8</v>
      </c>
      <c r="D4" s="4" t="s">
        <v>21</v>
      </c>
      <c r="F4" s="15" t="s">
        <v>37</v>
      </c>
      <c r="H4" s="6">
        <v>8</v>
      </c>
    </row>
    <row r="5" spans="1:8" x14ac:dyDescent="0.45">
      <c r="B5" s="1" t="s">
        <v>20</v>
      </c>
      <c r="C5" s="6">
        <v>0.1</v>
      </c>
      <c r="D5" s="4" t="s">
        <v>21</v>
      </c>
      <c r="F5" s="15" t="s">
        <v>20</v>
      </c>
      <c r="H5" s="6">
        <v>0.1</v>
      </c>
    </row>
    <row r="6" spans="1:8" x14ac:dyDescent="0.45">
      <c r="B6" s="1" t="s">
        <v>43</v>
      </c>
      <c r="C6" s="6">
        <v>2000</v>
      </c>
      <c r="D6" s="7" t="s">
        <v>44</v>
      </c>
      <c r="F6" s="15" t="s">
        <v>45</v>
      </c>
      <c r="H6" s="6">
        <v>500</v>
      </c>
    </row>
    <row r="14" spans="1:8" s="9" customFormat="1" x14ac:dyDescent="0.45">
      <c r="A14" s="9" t="s">
        <v>33</v>
      </c>
    </row>
    <row r="16" spans="1:8" x14ac:dyDescent="0.45">
      <c r="B16" s="15" t="s">
        <v>145</v>
      </c>
      <c r="C16" s="26">
        <v>42781900.7999999</v>
      </c>
    </row>
    <row r="17" spans="1:4" x14ac:dyDescent="0.45">
      <c r="B17" s="1" t="s">
        <v>40</v>
      </c>
      <c r="C17" s="3">
        <f>C4*C16</f>
        <v>342255206.3999992</v>
      </c>
      <c r="D17" s="3" t="str">
        <f>"0x"&amp;DEC2HEX(C17,8)</f>
        <v>0x14666666</v>
      </c>
    </row>
    <row r="18" spans="1:4" x14ac:dyDescent="0.45">
      <c r="B18" s="1" t="s">
        <v>41</v>
      </c>
      <c r="C18" s="3">
        <f>C5*C16</f>
        <v>4278190.0799999898</v>
      </c>
      <c r="D18" s="3" t="str">
        <f>"0x"&amp;DEC2HEX(C18,8)</f>
        <v>0x004147AE</v>
      </c>
    </row>
    <row r="21" spans="1:4" x14ac:dyDescent="0.45">
      <c r="A21" s="5" t="s">
        <v>35</v>
      </c>
      <c r="B21" s="5" t="str">
        <f>CONCATENATE("mcbj set pt SMOOTH ", D18, " ", D17, " ", C6)</f>
        <v>mcbj set pt SMOOTH 0x004147AE 0x14666666 2000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EF16-0179-4456-A903-226695536BC1}">
  <dimension ref="A2:K47"/>
  <sheetViews>
    <sheetView showGridLines="0" zoomScaleNormal="100" workbookViewId="0"/>
  </sheetViews>
  <sheetFormatPr defaultColWidth="9" defaultRowHeight="15" x14ac:dyDescent="0.45"/>
  <cols>
    <col min="1" max="1" width="7.09765625" style="5" bestFit="1" customWidth="1"/>
    <col min="2" max="2" width="40.5" style="5" customWidth="1"/>
    <col min="3" max="3" width="45.5" style="5" customWidth="1"/>
    <col min="4" max="4" width="14.09765625" style="5" customWidth="1"/>
    <col min="5" max="5" width="15.5" style="5" bestFit="1" customWidth="1"/>
    <col min="6" max="6" width="13.796875" style="5" bestFit="1" customWidth="1"/>
    <col min="7" max="7" width="13.796875" style="5" customWidth="1"/>
    <col min="8" max="9" width="14.09765625" style="5" customWidth="1"/>
    <col min="10" max="16384" width="9" style="5"/>
  </cols>
  <sheetData>
    <row r="2" spans="2:7" ht="27" x14ac:dyDescent="0.45">
      <c r="B2" s="8" t="s">
        <v>46</v>
      </c>
    </row>
    <row r="3" spans="2:7" x14ac:dyDescent="0.45">
      <c r="G3" s="5" t="s">
        <v>14</v>
      </c>
    </row>
    <row r="4" spans="2:7" x14ac:dyDescent="0.45">
      <c r="B4" s="46" t="s">
        <v>153</v>
      </c>
      <c r="C4" s="47"/>
      <c r="D4" s="6">
        <v>0.1</v>
      </c>
      <c r="E4" s="4" t="s">
        <v>152</v>
      </c>
    </row>
    <row r="5" spans="2:7" ht="31.5" customHeight="1" x14ac:dyDescent="0.45">
      <c r="B5" s="46" t="s">
        <v>47</v>
      </c>
      <c r="C5" s="47"/>
      <c r="D5" s="6">
        <v>20</v>
      </c>
      <c r="E5" s="4" t="s">
        <v>48</v>
      </c>
      <c r="G5" s="15" t="s">
        <v>49</v>
      </c>
    </row>
    <row r="6" spans="2:7" x14ac:dyDescent="0.45">
      <c r="B6" s="45" t="s">
        <v>50</v>
      </c>
      <c r="C6" s="1" t="s">
        <v>51</v>
      </c>
      <c r="D6" s="6">
        <v>100</v>
      </c>
      <c r="E6" s="4" t="s">
        <v>23</v>
      </c>
      <c r="G6" s="15" t="s">
        <v>52</v>
      </c>
    </row>
    <row r="7" spans="2:7" x14ac:dyDescent="0.45">
      <c r="B7" s="40"/>
      <c r="C7" s="1" t="s">
        <v>53</v>
      </c>
      <c r="D7" s="6">
        <v>70</v>
      </c>
      <c r="E7" s="4" t="s">
        <v>23</v>
      </c>
    </row>
    <row r="8" spans="2:7" x14ac:dyDescent="0.45">
      <c r="B8" s="40"/>
      <c r="C8" s="1" t="s">
        <v>54</v>
      </c>
      <c r="D8" s="6">
        <v>50</v>
      </c>
      <c r="E8" s="4" t="s">
        <v>23</v>
      </c>
    </row>
    <row r="9" spans="2:7" x14ac:dyDescent="0.45">
      <c r="B9" s="41"/>
      <c r="C9" s="1" t="s">
        <v>55</v>
      </c>
      <c r="D9" s="6">
        <v>25</v>
      </c>
      <c r="E9" s="4" t="s">
        <v>23</v>
      </c>
    </row>
    <row r="10" spans="2:7" x14ac:dyDescent="0.45">
      <c r="B10" s="45" t="s">
        <v>56</v>
      </c>
      <c r="C10" s="1" t="s">
        <v>57</v>
      </c>
      <c r="D10" s="6">
        <v>18</v>
      </c>
      <c r="E10" s="4" t="s">
        <v>23</v>
      </c>
    </row>
    <row r="11" spans="2:7" x14ac:dyDescent="0.45">
      <c r="B11" s="41"/>
      <c r="C11" s="1" t="s">
        <v>58</v>
      </c>
      <c r="D11" s="6">
        <v>2</v>
      </c>
      <c r="E11" s="4" t="s">
        <v>23</v>
      </c>
    </row>
    <row r="12" spans="2:7" ht="31.5" customHeight="1" x14ac:dyDescent="0.45">
      <c r="B12" s="46" t="s">
        <v>59</v>
      </c>
      <c r="C12" s="47"/>
      <c r="D12" s="6">
        <v>1000</v>
      </c>
      <c r="E12" s="7" t="s">
        <v>60</v>
      </c>
    </row>
    <row r="13" spans="2:7" ht="29.4" customHeight="1" x14ac:dyDescent="0.45">
      <c r="B13" s="46" t="s">
        <v>61</v>
      </c>
      <c r="C13" s="47"/>
      <c r="D13" s="6">
        <v>30</v>
      </c>
      <c r="E13" s="7" t="s">
        <v>62</v>
      </c>
    </row>
    <row r="17" spans="1:11" s="9" customFormat="1" x14ac:dyDescent="0.45">
      <c r="A17" s="9" t="s">
        <v>33</v>
      </c>
    </row>
    <row r="19" spans="1:11" x14ac:dyDescent="0.45">
      <c r="B19" s="48" t="s">
        <v>148</v>
      </c>
      <c r="C19" s="49"/>
      <c r="D19" s="26">
        <v>7.7480917290000004E-5</v>
      </c>
      <c r="E19" s="7" t="s">
        <v>147</v>
      </c>
    </row>
    <row r="20" spans="1:11" x14ac:dyDescent="0.45">
      <c r="B20" s="37" t="s">
        <v>149</v>
      </c>
      <c r="C20" s="38"/>
      <c r="D20" s="26">
        <v>10000</v>
      </c>
      <c r="E20" s="4" t="s">
        <v>150</v>
      </c>
    </row>
    <row r="21" spans="1:11" x14ac:dyDescent="0.45">
      <c r="B21" s="48" t="s">
        <v>145</v>
      </c>
      <c r="C21" s="49"/>
      <c r="D21" s="39">
        <v>42781900.7999999</v>
      </c>
    </row>
    <row r="22" spans="1:11" x14ac:dyDescent="0.45">
      <c r="B22" s="52" t="s">
        <v>63</v>
      </c>
      <c r="C22" s="47"/>
      <c r="D22" s="3">
        <f>D$5-1</f>
        <v>19</v>
      </c>
      <c r="E22" s="3">
        <f>1/(D22*D$19)+D$20</f>
        <v>10679.28440689952</v>
      </c>
      <c r="F22" s="3">
        <f>D$4/E22*1000000</f>
        <v>9.3639232920319486</v>
      </c>
      <c r="G22" s="3">
        <f>F22*D$21</f>
        <v>400606437.3785193</v>
      </c>
      <c r="H22" s="3" t="str">
        <f>"0x"&amp;DEC2HEX(G22,8)</f>
        <v>0x17E0C4E5</v>
      </c>
    </row>
    <row r="24" spans="1:11" x14ac:dyDescent="0.45">
      <c r="B24" s="53" t="s">
        <v>64</v>
      </c>
      <c r="C24" s="22">
        <v>0</v>
      </c>
      <c r="D24" s="27">
        <v>650</v>
      </c>
      <c r="E24" s="7" t="s">
        <v>48</v>
      </c>
    </row>
    <row r="25" spans="1:11" x14ac:dyDescent="0.45">
      <c r="B25" s="53"/>
      <c r="C25" s="22">
        <v>1</v>
      </c>
      <c r="D25" s="27">
        <v>400</v>
      </c>
      <c r="E25" s="7" t="s">
        <v>48</v>
      </c>
    </row>
    <row r="26" spans="1:11" x14ac:dyDescent="0.45">
      <c r="B26" s="53"/>
      <c r="C26" s="22">
        <v>2</v>
      </c>
      <c r="D26" s="27">
        <v>50</v>
      </c>
      <c r="E26" s="7" t="s">
        <v>48</v>
      </c>
    </row>
    <row r="27" spans="1:11" x14ac:dyDescent="0.45">
      <c r="B27" s="25" t="s">
        <v>65</v>
      </c>
      <c r="C27" s="22">
        <v>0</v>
      </c>
      <c r="D27" s="27">
        <v>1</v>
      </c>
      <c r="E27" s="7" t="s">
        <v>48</v>
      </c>
    </row>
    <row r="29" spans="1:11" ht="18" customHeight="1" x14ac:dyDescent="0.45">
      <c r="B29" s="42" t="s">
        <v>66</v>
      </c>
      <c r="C29" s="43"/>
      <c r="D29" s="43" t="s">
        <v>67</v>
      </c>
      <c r="E29" s="50" t="s">
        <v>154</v>
      </c>
      <c r="F29" s="50" t="s">
        <v>155</v>
      </c>
      <c r="G29" s="43" t="s">
        <v>156</v>
      </c>
      <c r="H29" s="43" t="s">
        <v>68</v>
      </c>
      <c r="I29" s="43"/>
      <c r="J29" s="43" t="s">
        <v>69</v>
      </c>
      <c r="K29" s="43" t="s">
        <v>70</v>
      </c>
    </row>
    <row r="30" spans="1:11" ht="18.600000000000001" customHeight="1" thickBot="1" x14ac:dyDescent="0.5">
      <c r="B30" s="44"/>
      <c r="C30" s="44"/>
      <c r="D30" s="44"/>
      <c r="E30" s="51"/>
      <c r="F30" s="51"/>
      <c r="G30" s="44"/>
      <c r="H30" s="21" t="s">
        <v>71</v>
      </c>
      <c r="I30" s="21" t="s">
        <v>72</v>
      </c>
      <c r="J30" s="44"/>
      <c r="K30" s="44"/>
    </row>
    <row r="31" spans="1:11" ht="15.6" thickTop="1" x14ac:dyDescent="0.45">
      <c r="B31" s="40" t="s">
        <v>73</v>
      </c>
      <c r="C31" s="11" t="str">
        <f>_xlfn.CONCAT(INDEX($D$24:$D$26,COUNTA($D$24:$D$26)-D31)," &gt;= (Now G0 Level - Target G0 Level)")</f>
        <v>50 &gt;= (Now G0 Level - Target G0 Level)</v>
      </c>
      <c r="D31" s="20">
        <v>0</v>
      </c>
      <c r="E31" s="20" cm="1">
        <f t="array" ref="E31">D$5+INDEX(D$24:D$26,COUNTA(D$24:D$26)-D31)</f>
        <v>70</v>
      </c>
      <c r="F31" s="20">
        <f>1/(E31*D$19)+D$20</f>
        <v>10184.377196158441</v>
      </c>
      <c r="G31" s="20">
        <f>D$4/F31*1000000</f>
        <v>9.8189607546861222</v>
      </c>
      <c r="H31" s="20">
        <f>G31*D$21</f>
        <v>420073804.96607381</v>
      </c>
      <c r="I31" s="20" t="str">
        <f t="shared" ref="I31:I36" si="0">"0x"&amp;DEC2HEX(H31,8)</f>
        <v>0x1909D14C</v>
      </c>
      <c r="J31" s="20">
        <f>ROUNDDOWN(K31/20+0.5,0)</f>
        <v>13</v>
      </c>
      <c r="K31" s="20">
        <f>D9*10</f>
        <v>250</v>
      </c>
    </row>
    <row r="32" spans="1:11" x14ac:dyDescent="0.45">
      <c r="B32" s="40"/>
      <c r="C32" s="11" t="str">
        <f>_xlfn.CONCAT(INDEX($D$24:$D$26,COUNTA($D$24:$D$26)-D32)," &gt;= (Now G0 Level - Target G0 Level) &gt; ",INDEX($D$24:$D$26,COUNTA($D$24:$D$26)-D31))</f>
        <v>400 &gt;= (Now G0 Level - Target G0 Level) &gt; 50</v>
      </c>
      <c r="D32" s="3">
        <v>1</v>
      </c>
      <c r="E32" s="20" cm="1">
        <f t="array" ref="E32">D$5+INDEX(D$24:D$26,COUNTA(D$24:D$26)-D32)</f>
        <v>420</v>
      </c>
      <c r="F32" s="20">
        <f>1/(E32*D$19)+D$20</f>
        <v>10030.729532693074</v>
      </c>
      <c r="G32" s="20">
        <f>D$4/F32*1000000</f>
        <v>9.9693646084335956</v>
      </c>
      <c r="H32" s="20">
        <f>G32*D$21</f>
        <v>426508367.71703595</v>
      </c>
      <c r="I32" s="3" t="str">
        <f t="shared" si="0"/>
        <v>0x196C004F</v>
      </c>
      <c r="J32" s="3">
        <f t="shared" ref="J32:J34" si="1">ROUNDDOWN(K32/20+0.5,0)</f>
        <v>25</v>
      </c>
      <c r="K32" s="3">
        <f>D8*10</f>
        <v>500</v>
      </c>
    </row>
    <row r="33" spans="1:11" x14ac:dyDescent="0.45">
      <c r="B33" s="40"/>
      <c r="C33" s="11" t="str">
        <f>_xlfn.CONCAT(INDEX($D$24:$D$26,COUNTA($D$24:$D$26)-D33)," &gt;= (Now G0 Level - Target G0 Level) &gt; ",INDEX($D$24:$D$26,COUNTA($D$24:$D$26)-D32))</f>
        <v>650 &gt;= (Now G0 Level - Target G0 Level) &gt; 400</v>
      </c>
      <c r="D33" s="3">
        <v>2</v>
      </c>
      <c r="E33" s="20" cm="1">
        <f t="array" ref="E33">D$5+INDEX(D$24:D$26,COUNTA(D$24:D$26)-D33)</f>
        <v>670</v>
      </c>
      <c r="F33" s="20">
        <f>1/(E33*D$19)+D$20</f>
        <v>10019.263289150882</v>
      </c>
      <c r="G33" s="20">
        <f>D$4/F33*1000000</f>
        <v>9.9807737469363236</v>
      </c>
      <c r="H33" s="20">
        <f>G33*D$21</f>
        <v>426996472.34867311</v>
      </c>
      <c r="I33" s="3" t="str">
        <f t="shared" si="0"/>
        <v>0x197372F8</v>
      </c>
      <c r="J33" s="3">
        <f t="shared" si="1"/>
        <v>35</v>
      </c>
      <c r="K33" s="3">
        <f>D7*10</f>
        <v>700</v>
      </c>
    </row>
    <row r="34" spans="1:11" x14ac:dyDescent="0.45">
      <c r="B34" s="41"/>
      <c r="C34" s="11" t="str">
        <f>_xlfn.CONCAT("(Now G0 Level - Target G0 Level) &gt; ",INDEX($D$24:$D$26,COUNTA($D$24:$D$26)-D33))</f>
        <v>(Now G0 Level - Target G0 Level) &gt; 650</v>
      </c>
      <c r="D34" s="3">
        <v>3</v>
      </c>
      <c r="E34" s="3" t="s">
        <v>151</v>
      </c>
      <c r="F34" s="3" t="s">
        <v>151</v>
      </c>
      <c r="G34" s="3" t="s">
        <v>151</v>
      </c>
      <c r="H34" s="3">
        <v>2147483647</v>
      </c>
      <c r="I34" s="3" t="str">
        <f t="shared" si="0"/>
        <v>0x7FFFFFFF</v>
      </c>
      <c r="J34" s="3">
        <f t="shared" si="1"/>
        <v>50</v>
      </c>
      <c r="K34" s="3">
        <f>D6*10</f>
        <v>1000</v>
      </c>
    </row>
    <row r="35" spans="1:11" x14ac:dyDescent="0.45">
      <c r="B35" s="40" t="s">
        <v>74</v>
      </c>
      <c r="C35" s="11" t="str">
        <f>_xlfn.CONCAT("Now G0 Level &lt; ",$D$27)</f>
        <v>Now G0 Level &lt; 1</v>
      </c>
      <c r="D35" s="20">
        <v>0</v>
      </c>
      <c r="E35" s="20">
        <f>D$27</f>
        <v>1</v>
      </c>
      <c r="F35" s="20">
        <f>1/(E35*D$19)+D$20</f>
        <v>22906.403731090883</v>
      </c>
      <c r="G35" s="20">
        <f>D$4/F35*1000000</f>
        <v>4.3655914378331637</v>
      </c>
      <c r="H35" s="20">
        <f>G35*D$21-1</f>
        <v>186768298.82670733</v>
      </c>
      <c r="I35" s="20" t="str">
        <f t="shared" si="0"/>
        <v>0x0B21DBAA</v>
      </c>
      <c r="J35" s="20">
        <f t="shared" ref="J35:J36" si="2">ROUNDDOWN(K35/20+0.5,0)</f>
        <v>9</v>
      </c>
      <c r="K35" s="20">
        <f>D10*10</f>
        <v>180</v>
      </c>
    </row>
    <row r="36" spans="1:11" x14ac:dyDescent="0.45">
      <c r="B36" s="41"/>
      <c r="C36" s="11" t="str">
        <f>_xlfn.CONCAT("Now G0 Level &gt;= ",$D$27)</f>
        <v>Now G0 Level &gt;= 1</v>
      </c>
      <c r="D36" s="3">
        <v>1</v>
      </c>
      <c r="E36" s="3" t="s">
        <v>151</v>
      </c>
      <c r="F36" s="3" t="s">
        <v>151</v>
      </c>
      <c r="G36" s="3" t="s">
        <v>151</v>
      </c>
      <c r="H36" s="3">
        <v>2147483647</v>
      </c>
      <c r="I36" s="3" t="str">
        <f t="shared" si="0"/>
        <v>0x7FFFFFFF</v>
      </c>
      <c r="J36" s="3">
        <f t="shared" si="2"/>
        <v>1</v>
      </c>
      <c r="K36" s="3">
        <f>D11*10</f>
        <v>20</v>
      </c>
    </row>
    <row r="39" spans="1:11" x14ac:dyDescent="0.45">
      <c r="A39" s="5" t="s">
        <v>35</v>
      </c>
      <c r="B39" s="5" t="str">
        <f>CONCATENATE("mcbj set targeting threshold ", H22)</f>
        <v>mcbj set targeting threshold 0x17E0C4E5</v>
      </c>
    </row>
    <row r="40" spans="1:11" x14ac:dyDescent="0.45">
      <c r="A40" s="5" t="s">
        <v>35</v>
      </c>
      <c r="B40" s="5" t="str">
        <f>CONCATENATE("mcbj set targeting up_table ",D31," ",I31," ",J31," ",K31)</f>
        <v>mcbj set targeting up_table 0 0x1909D14C 13 250</v>
      </c>
    </row>
    <row r="41" spans="1:11" x14ac:dyDescent="0.45">
      <c r="A41" s="5" t="s">
        <v>35</v>
      </c>
      <c r="B41" s="5" t="str">
        <f>CONCATENATE("mcbj set targeting up_table ",D32," ",I32," ",J32," ",K32)</f>
        <v>mcbj set targeting up_table 1 0x196C004F 25 500</v>
      </c>
    </row>
    <row r="42" spans="1:11" x14ac:dyDescent="0.45">
      <c r="A42" s="5" t="s">
        <v>35</v>
      </c>
      <c r="B42" s="5" t="str">
        <f>CONCATENATE("mcbj set targeting up_table ",D33," ",I33," ",J33," ",K33)</f>
        <v>mcbj set targeting up_table 2 0x197372F8 35 700</v>
      </c>
    </row>
    <row r="43" spans="1:11" x14ac:dyDescent="0.45">
      <c r="A43" s="5" t="s">
        <v>35</v>
      </c>
      <c r="B43" s="5" t="str">
        <f>CONCATENATE("mcbj set targeting up_table ",D34," ",I34," ",J34," ",K34)</f>
        <v>mcbj set targeting up_table 3 0x7FFFFFFF 50 1000</v>
      </c>
    </row>
    <row r="44" spans="1:11" x14ac:dyDescent="0.45">
      <c r="A44" s="5" t="s">
        <v>35</v>
      </c>
      <c r="B44" s="5" t="str">
        <f>CONCATENATE("mcbj set targeting down_table ",D35," ",I35," ",J35," ",K35)</f>
        <v>mcbj set targeting down_table 0 0x0B21DBAA 9 180</v>
      </c>
    </row>
    <row r="45" spans="1:11" x14ac:dyDescent="0.45">
      <c r="A45" s="5" t="s">
        <v>35</v>
      </c>
      <c r="B45" s="5" t="str">
        <f>CONCATENATE("mcbj set targeting down_table ",D36," ",I36," ",J36," ",K36)</f>
        <v>mcbj set targeting down_table 1 0x7FFFFFFF 1 20</v>
      </c>
    </row>
    <row r="46" spans="1:11" x14ac:dyDescent="0.45">
      <c r="A46" s="5" t="s">
        <v>35</v>
      </c>
      <c r="B46" s="5" t="str">
        <f>CONCATENATE("mcbj set targeting up_limit ", D12*10)</f>
        <v>mcbj set targeting up_limit 10000</v>
      </c>
    </row>
    <row r="47" spans="1:11" x14ac:dyDescent="0.45">
      <c r="A47" s="5" t="s">
        <v>35</v>
      </c>
      <c r="B47" s="5" t="str">
        <f>CONCATENATE("mcbj set targeting timeout ", D13*1000)</f>
        <v>mcbj set targeting timeout 30000</v>
      </c>
    </row>
  </sheetData>
  <mergeCells count="20">
    <mergeCell ref="B4:C4"/>
    <mergeCell ref="E29:E30"/>
    <mergeCell ref="F29:F30"/>
    <mergeCell ref="G29:G30"/>
    <mergeCell ref="B5:C5"/>
    <mergeCell ref="B22:C22"/>
    <mergeCell ref="B24:B26"/>
    <mergeCell ref="B19:C19"/>
    <mergeCell ref="K29:K30"/>
    <mergeCell ref="J29:J30"/>
    <mergeCell ref="H29:I29"/>
    <mergeCell ref="D29:D30"/>
    <mergeCell ref="B21:C21"/>
    <mergeCell ref="B35:B36"/>
    <mergeCell ref="B31:B34"/>
    <mergeCell ref="B29:C30"/>
    <mergeCell ref="B10:B11"/>
    <mergeCell ref="B6:B9"/>
    <mergeCell ref="B13:C13"/>
    <mergeCell ref="B12:C12"/>
  </mergeCells>
  <phoneticPr fontId="2"/>
  <dataValidations count="1">
    <dataValidation type="list" allowBlank="1" showInputMessage="1" showErrorMessage="1" sqref="D4" xr:uid="{A3D4E3E6-74D7-4C83-A7AC-14E25DF85122}">
      <formula1>"0.1"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8AC6-8AD6-418A-9DD9-B39376EDB5AD}">
  <dimension ref="A2:K54"/>
  <sheetViews>
    <sheetView showGridLines="0" workbookViewId="0"/>
  </sheetViews>
  <sheetFormatPr defaultColWidth="9" defaultRowHeight="15" x14ac:dyDescent="0.45"/>
  <cols>
    <col min="1" max="1" width="7.09765625" style="5" bestFit="1" customWidth="1"/>
    <col min="2" max="3" width="20.8984375" style="5" customWidth="1"/>
    <col min="4" max="4" width="14.09765625" style="5" customWidth="1"/>
    <col min="5" max="5" width="15.5" style="5" bestFit="1" customWidth="1"/>
    <col min="6" max="6" width="14.3984375" style="5" bestFit="1" customWidth="1"/>
    <col min="7" max="8" width="13.796875" style="5" bestFit="1" customWidth="1"/>
    <col min="9" max="9" width="12.796875" style="5" bestFit="1" customWidth="1"/>
    <col min="10" max="11" width="9.19921875" style="5" customWidth="1"/>
    <col min="12" max="16384" width="9" style="5"/>
  </cols>
  <sheetData>
    <row r="2" spans="2:9" ht="27" x14ac:dyDescent="0.45">
      <c r="B2" s="8" t="s">
        <v>75</v>
      </c>
      <c r="C2" s="8"/>
    </row>
    <row r="3" spans="2:9" x14ac:dyDescent="0.45">
      <c r="G3" s="5" t="s">
        <v>14</v>
      </c>
      <c r="I3" s="5" t="s">
        <v>157</v>
      </c>
    </row>
    <row r="4" spans="2:9" x14ac:dyDescent="0.45">
      <c r="B4" s="52" t="s">
        <v>153</v>
      </c>
      <c r="C4" s="47"/>
      <c r="D4" s="6">
        <v>0.1</v>
      </c>
      <c r="E4" s="4" t="s">
        <v>152</v>
      </c>
      <c r="I4" s="6">
        <v>0.1</v>
      </c>
    </row>
    <row r="5" spans="2:9" x14ac:dyDescent="0.45">
      <c r="B5" s="52" t="s">
        <v>76</v>
      </c>
      <c r="C5" s="47"/>
      <c r="D5" s="6">
        <v>1.0999999999999999E-2</v>
      </c>
      <c r="E5" s="4" t="s">
        <v>77</v>
      </c>
      <c r="G5" s="15" t="s">
        <v>76</v>
      </c>
      <c r="I5" s="6">
        <v>1.0999999999999999E-2</v>
      </c>
    </row>
    <row r="6" spans="2:9" x14ac:dyDescent="0.45">
      <c r="B6" s="54" t="s">
        <v>78</v>
      </c>
      <c r="C6" s="23">
        <v>0</v>
      </c>
      <c r="D6" s="6">
        <v>5000</v>
      </c>
      <c r="E6" s="4" t="s">
        <v>44</v>
      </c>
      <c r="G6" s="15" t="s">
        <v>79</v>
      </c>
      <c r="I6" s="6">
        <v>1000</v>
      </c>
    </row>
    <row r="7" spans="2:9" ht="15" customHeight="1" x14ac:dyDescent="0.45">
      <c r="B7" s="55"/>
      <c r="C7" s="23">
        <v>1</v>
      </c>
      <c r="D7" s="6">
        <v>2500</v>
      </c>
      <c r="E7" s="4" t="s">
        <v>44</v>
      </c>
      <c r="G7" s="15" t="s">
        <v>80</v>
      </c>
      <c r="I7" s="6">
        <v>900</v>
      </c>
    </row>
    <row r="8" spans="2:9" x14ac:dyDescent="0.45">
      <c r="B8" s="55"/>
      <c r="C8" s="23">
        <v>2</v>
      </c>
      <c r="D8" s="6">
        <v>1500</v>
      </c>
      <c r="E8" s="4" t="s">
        <v>44</v>
      </c>
      <c r="G8" s="15" t="s">
        <v>81</v>
      </c>
      <c r="I8" s="6">
        <v>500</v>
      </c>
    </row>
    <row r="9" spans="2:9" x14ac:dyDescent="0.45">
      <c r="B9" s="55"/>
      <c r="C9" s="23">
        <v>3</v>
      </c>
      <c r="D9" s="6">
        <v>200</v>
      </c>
      <c r="E9" s="4" t="s">
        <v>44</v>
      </c>
      <c r="G9" s="15" t="s">
        <v>82</v>
      </c>
      <c r="I9" s="6">
        <v>200</v>
      </c>
    </row>
    <row r="10" spans="2:9" x14ac:dyDescent="0.45">
      <c r="B10" s="55"/>
      <c r="C10" s="23">
        <v>4</v>
      </c>
      <c r="D10" s="6">
        <v>700</v>
      </c>
      <c r="E10" s="4" t="s">
        <v>44</v>
      </c>
      <c r="G10" s="15" t="s">
        <v>83</v>
      </c>
      <c r="I10" s="6">
        <v>700</v>
      </c>
    </row>
    <row r="11" spans="2:9" ht="15" customHeight="1" x14ac:dyDescent="0.45">
      <c r="B11" s="55"/>
      <c r="C11" s="23">
        <v>5</v>
      </c>
      <c r="D11" s="6">
        <v>900</v>
      </c>
      <c r="E11" s="4" t="s">
        <v>44</v>
      </c>
      <c r="G11" s="15" t="s">
        <v>84</v>
      </c>
      <c r="I11" s="6">
        <v>900</v>
      </c>
    </row>
    <row r="12" spans="2:9" x14ac:dyDescent="0.45">
      <c r="B12" s="55"/>
      <c r="C12" s="23">
        <v>6</v>
      </c>
      <c r="D12" s="6">
        <v>1000</v>
      </c>
      <c r="E12" s="4" t="s">
        <v>44</v>
      </c>
      <c r="G12" s="15" t="s">
        <v>85</v>
      </c>
      <c r="I12" s="6">
        <v>1000</v>
      </c>
    </row>
    <row r="13" spans="2:9" x14ac:dyDescent="0.45">
      <c r="B13" s="56"/>
      <c r="C13" s="23">
        <v>7</v>
      </c>
      <c r="D13" s="6">
        <v>1000</v>
      </c>
      <c r="E13" s="4" t="s">
        <v>44</v>
      </c>
      <c r="G13" s="15" t="s">
        <v>86</v>
      </c>
      <c r="I13" s="6">
        <v>1000</v>
      </c>
    </row>
    <row r="14" spans="2:9" ht="45.9" customHeight="1" x14ac:dyDescent="0.45">
      <c r="B14" s="46" t="s">
        <v>87</v>
      </c>
      <c r="C14" s="47"/>
      <c r="D14" s="6">
        <v>30</v>
      </c>
      <c r="E14" s="7" t="s">
        <v>62</v>
      </c>
      <c r="I14" s="6">
        <v>30</v>
      </c>
    </row>
    <row r="18" spans="1:5" s="9" customFormat="1" x14ac:dyDescent="0.45">
      <c r="A18" s="9" t="s">
        <v>33</v>
      </c>
    </row>
    <row r="20" spans="1:5" x14ac:dyDescent="0.45">
      <c r="B20" s="48" t="s">
        <v>148</v>
      </c>
      <c r="C20" s="49"/>
      <c r="D20" s="26">
        <v>7.7480917290000004E-5</v>
      </c>
      <c r="E20" s="7" t="s">
        <v>147</v>
      </c>
    </row>
    <row r="21" spans="1:5" x14ac:dyDescent="0.45">
      <c r="B21" s="37" t="s">
        <v>149</v>
      </c>
      <c r="C21" s="38"/>
      <c r="D21" s="26">
        <v>10000</v>
      </c>
      <c r="E21" s="4" t="s">
        <v>150</v>
      </c>
    </row>
    <row r="22" spans="1:5" x14ac:dyDescent="0.45">
      <c r="B22" s="48" t="s">
        <v>145</v>
      </c>
      <c r="C22" s="49"/>
      <c r="D22" s="26">
        <v>42781900.7999999</v>
      </c>
    </row>
    <row r="23" spans="1:5" x14ac:dyDescent="0.45">
      <c r="B23" s="52" t="s">
        <v>88</v>
      </c>
      <c r="C23" s="47"/>
      <c r="D23" s="3">
        <f>D5*D22</f>
        <v>470600.90879999887</v>
      </c>
      <c r="E23" s="3" t="str">
        <f>"0x"&amp;DEC2HEX(D23,8)</f>
        <v>0x00072E48</v>
      </c>
    </row>
    <row r="25" spans="1:5" x14ac:dyDescent="0.45">
      <c r="B25" s="54" t="s">
        <v>89</v>
      </c>
      <c r="C25" s="23">
        <v>0</v>
      </c>
      <c r="D25" s="26">
        <v>50</v>
      </c>
    </row>
    <row r="26" spans="1:5" x14ac:dyDescent="0.45">
      <c r="B26" s="55"/>
      <c r="C26" s="23">
        <v>1</v>
      </c>
      <c r="D26" s="26">
        <v>20</v>
      </c>
    </row>
    <row r="27" spans="1:5" x14ac:dyDescent="0.45">
      <c r="B27" s="55"/>
      <c r="C27" s="23">
        <v>2</v>
      </c>
      <c r="D27" s="26">
        <v>10</v>
      </c>
    </row>
    <row r="28" spans="1:5" x14ac:dyDescent="0.45">
      <c r="B28" s="55"/>
      <c r="C28" s="23">
        <v>3</v>
      </c>
      <c r="D28" s="26">
        <v>8</v>
      </c>
    </row>
    <row r="29" spans="1:5" x14ac:dyDescent="0.45">
      <c r="B29" s="55"/>
      <c r="C29" s="23">
        <v>4</v>
      </c>
      <c r="D29" s="26">
        <v>6</v>
      </c>
    </row>
    <row r="30" spans="1:5" x14ac:dyDescent="0.45">
      <c r="B30" s="55"/>
      <c r="C30" s="23">
        <v>5</v>
      </c>
      <c r="D30" s="26">
        <v>3</v>
      </c>
    </row>
    <row r="31" spans="1:5" x14ac:dyDescent="0.45">
      <c r="B31" s="56"/>
      <c r="C31" s="23">
        <v>6</v>
      </c>
      <c r="D31" s="26">
        <v>0.8</v>
      </c>
    </row>
    <row r="33" spans="1:11" ht="18" customHeight="1" x14ac:dyDescent="0.45">
      <c r="B33" s="57" t="s">
        <v>90</v>
      </c>
      <c r="C33" s="58"/>
      <c r="D33" s="43" t="s">
        <v>67</v>
      </c>
      <c r="E33" s="50" t="s">
        <v>154</v>
      </c>
      <c r="F33" s="50" t="s">
        <v>155</v>
      </c>
      <c r="G33" s="43" t="s">
        <v>156</v>
      </c>
      <c r="H33" s="43" t="s">
        <v>68</v>
      </c>
      <c r="I33" s="43"/>
      <c r="J33" s="43" t="s">
        <v>69</v>
      </c>
      <c r="K33" s="43" t="s">
        <v>70</v>
      </c>
    </row>
    <row r="34" spans="1:11" ht="18.600000000000001" customHeight="1" thickBot="1" x14ac:dyDescent="0.5">
      <c r="B34" s="59"/>
      <c r="C34" s="60"/>
      <c r="D34" s="44"/>
      <c r="E34" s="51"/>
      <c r="F34" s="51"/>
      <c r="G34" s="44"/>
      <c r="H34" s="21" t="s">
        <v>71</v>
      </c>
      <c r="I34" s="21" t="s">
        <v>72</v>
      </c>
      <c r="J34" s="44"/>
      <c r="K34" s="44"/>
    </row>
    <row r="35" spans="1:11" ht="15.6" customHeight="1" thickTop="1" x14ac:dyDescent="0.45">
      <c r="B35" s="24" t="s">
        <v>91</v>
      </c>
      <c r="C35" s="25" t="str">
        <f>_xlfn.CONCAT(INDEX($D$25:$D$31,7-D35)," &gt;= G0 level")</f>
        <v>0.8 &gt;= G0 level</v>
      </c>
      <c r="D35" s="20">
        <v>0</v>
      </c>
      <c r="E35" s="20" cm="1">
        <f t="array" ref="E35">INDEX(D$25:D$31,7-D35)</f>
        <v>0.8</v>
      </c>
      <c r="F35" s="20">
        <f>1/(E35*D$20)+D$21</f>
        <v>26133.004663863601</v>
      </c>
      <c r="G35" s="20">
        <f>D$4/F35*1000000</f>
        <v>3.8265787377399731</v>
      </c>
      <c r="H35" s="20">
        <f>G35*D$22</f>
        <v>163708311.96138036</v>
      </c>
      <c r="I35" s="20" t="str">
        <f>"0x"&amp;DEC2HEX(H35,8)</f>
        <v>0x09C1FD97</v>
      </c>
      <c r="J35" s="20">
        <f>ROUNDDOWN(K35/20+0.5,0)</f>
        <v>50</v>
      </c>
      <c r="K35" s="20">
        <f>D13</f>
        <v>1000</v>
      </c>
    </row>
    <row r="36" spans="1:11" x14ac:dyDescent="0.45">
      <c r="B36" s="25" t="s">
        <v>92</v>
      </c>
      <c r="C36" s="25" t="str">
        <f>_xlfn.CONCAT(INDEX($D$25:$D$31,7-D36)," &gt;= G0 level &gt; ",INDEX($D$25:$D$31,7-D35))</f>
        <v>3 &gt;= G0 level &gt; 0.8</v>
      </c>
      <c r="D36" s="3">
        <v>1</v>
      </c>
      <c r="E36" s="20" cm="1">
        <f t="array" ref="E36">INDEX(D$25:D$31,7-D36)</f>
        <v>3</v>
      </c>
      <c r="F36" s="20">
        <f t="shared" ref="F36:F41" si="0">1/(E36*D$20)+D$21</f>
        <v>14302.134577030294</v>
      </c>
      <c r="G36" s="20">
        <f t="shared" ref="G36:G41" si="1">D$4/F36*1000000</f>
        <v>6.9919632948079888</v>
      </c>
      <c r="H36" s="20">
        <f t="shared" ref="H36:H41" si="2">G36*D$22</f>
        <v>299129480.07571584</v>
      </c>
      <c r="I36" s="3" t="str">
        <f>"0x"&amp;DEC2HEX(H36,8)</f>
        <v>0x11D45A88</v>
      </c>
      <c r="J36" s="20">
        <f t="shared" ref="J36:J42" si="3">ROUNDDOWN(K36/20+0.5,0)</f>
        <v>50</v>
      </c>
      <c r="K36" s="20">
        <f>D12</f>
        <v>1000</v>
      </c>
    </row>
    <row r="37" spans="1:11" x14ac:dyDescent="0.45">
      <c r="B37" s="25" t="s">
        <v>93</v>
      </c>
      <c r="C37" s="25" t="str">
        <f t="shared" ref="C37:C41" si="4">_xlfn.CONCAT(INDEX($D$25:$D$31,7-D37)," &gt;= G0 level &gt; ",INDEX($D$25:$D$31,7-D36))</f>
        <v>6 &gt;= G0 level &gt; 3</v>
      </c>
      <c r="D37" s="3">
        <v>2</v>
      </c>
      <c r="E37" s="20" cm="1">
        <f t="array" ref="E37">INDEX(D$25:D$31,7-D37)</f>
        <v>6</v>
      </c>
      <c r="F37" s="20">
        <f t="shared" si="0"/>
        <v>12151.067288515147</v>
      </c>
      <c r="G37" s="20">
        <f t="shared" si="1"/>
        <v>8.2297297534116396</v>
      </c>
      <c r="H37" s="20">
        <f t="shared" si="2"/>
        <v>352083481.92126441</v>
      </c>
      <c r="I37" s="3" t="str">
        <f>"0x"&amp;DEC2HEX(H37,8)</f>
        <v>0x14FC5E19</v>
      </c>
      <c r="J37" s="20">
        <f t="shared" si="3"/>
        <v>45</v>
      </c>
      <c r="K37" s="20">
        <f>D11</f>
        <v>900</v>
      </c>
    </row>
    <row r="38" spans="1:11" x14ac:dyDescent="0.45">
      <c r="B38" s="25" t="s">
        <v>94</v>
      </c>
      <c r="C38" s="25" t="str">
        <f t="shared" si="4"/>
        <v>8 &gt;= G0 level &gt; 6</v>
      </c>
      <c r="D38" s="3">
        <v>3</v>
      </c>
      <c r="E38" s="20" cm="1">
        <f t="array" ref="E38">INDEX(D$25:D$31,7-D38)</f>
        <v>8</v>
      </c>
      <c r="F38" s="20">
        <f t="shared" si="0"/>
        <v>11613.300466386359</v>
      </c>
      <c r="G38" s="20">
        <f t="shared" si="1"/>
        <v>8.6108165623924826</v>
      </c>
      <c r="H38" s="20">
        <f t="shared" si="2"/>
        <v>368387099.97927135</v>
      </c>
      <c r="I38" s="3" t="str">
        <f>"0x"&amp;DEC2HEX(H38,8)</f>
        <v>0x15F5241B</v>
      </c>
      <c r="J38" s="20">
        <f t="shared" si="3"/>
        <v>35</v>
      </c>
      <c r="K38" s="20">
        <f>D10</f>
        <v>700</v>
      </c>
    </row>
    <row r="39" spans="1:11" x14ac:dyDescent="0.45">
      <c r="B39" s="25" t="s">
        <v>95</v>
      </c>
      <c r="C39" s="25" t="str">
        <f t="shared" si="4"/>
        <v>10 &gt;= G0 level &gt; 8</v>
      </c>
      <c r="D39" s="3">
        <v>4</v>
      </c>
      <c r="E39" s="20" cm="1">
        <f t="array" ref="E39">INDEX(D$25:D$31,7-D39)</f>
        <v>10</v>
      </c>
      <c r="F39" s="20">
        <f t="shared" si="0"/>
        <v>11290.640373109089</v>
      </c>
      <c r="G39" s="20">
        <f t="shared" si="1"/>
        <v>8.8568935592147593</v>
      </c>
      <c r="H39" s="20">
        <f t="shared" si="2"/>
        <v>378914741.6464839</v>
      </c>
      <c r="I39" s="3" t="str">
        <f t="shared" ref="I39:I41" si="5">"0x"&amp;DEC2HEX(H39,8)</f>
        <v>0x1695C7B5</v>
      </c>
      <c r="J39" s="20">
        <f t="shared" si="3"/>
        <v>10</v>
      </c>
      <c r="K39" s="20">
        <f>D9</f>
        <v>200</v>
      </c>
    </row>
    <row r="40" spans="1:11" x14ac:dyDescent="0.45">
      <c r="B40" s="25" t="s">
        <v>96</v>
      </c>
      <c r="C40" s="25" t="str">
        <f t="shared" si="4"/>
        <v>20 &gt;= G0 level &gt; 10</v>
      </c>
      <c r="D40" s="3">
        <v>5</v>
      </c>
      <c r="E40" s="20" cm="1">
        <f t="array" ref="E40">INDEX(D$25:D$31,7-D40)</f>
        <v>20</v>
      </c>
      <c r="F40" s="20">
        <f t="shared" si="0"/>
        <v>10645.320186554543</v>
      </c>
      <c r="G40" s="20">
        <f t="shared" si="1"/>
        <v>9.3937991763088462</v>
      </c>
      <c r="H40" s="20">
        <f t="shared" si="2"/>
        <v>401884584.49596584</v>
      </c>
      <c r="I40" s="3" t="str">
        <f t="shared" si="5"/>
        <v>0x17F445A8</v>
      </c>
      <c r="J40" s="20">
        <f t="shared" si="3"/>
        <v>75</v>
      </c>
      <c r="K40" s="20">
        <f>D8</f>
        <v>1500</v>
      </c>
    </row>
    <row r="41" spans="1:11" x14ac:dyDescent="0.45">
      <c r="B41" s="25" t="s">
        <v>97</v>
      </c>
      <c r="C41" s="25" t="str">
        <f t="shared" si="4"/>
        <v>50 &gt;= G0 level &gt; 20</v>
      </c>
      <c r="D41" s="3">
        <v>6</v>
      </c>
      <c r="E41" s="20" cm="1">
        <f t="array" ref="E41">INDEX(D$25:D$31,7-D41)</f>
        <v>50</v>
      </c>
      <c r="F41" s="20">
        <f t="shared" si="0"/>
        <v>10258.128074621818</v>
      </c>
      <c r="G41" s="20">
        <f t="shared" si="1"/>
        <v>9.7483672725237103</v>
      </c>
      <c r="H41" s="20">
        <f t="shared" si="2"/>
        <v>417053681.61507499</v>
      </c>
      <c r="I41" s="3" t="str">
        <f t="shared" si="5"/>
        <v>0x18DBBBF1</v>
      </c>
      <c r="J41" s="20">
        <f t="shared" si="3"/>
        <v>125</v>
      </c>
      <c r="K41" s="20">
        <f>D7</f>
        <v>2500</v>
      </c>
    </row>
    <row r="42" spans="1:11" x14ac:dyDescent="0.45">
      <c r="B42" s="25" t="s">
        <v>98</v>
      </c>
      <c r="C42" s="25" t="str">
        <f>_xlfn.CONCAT("G0 level &gt; ",INDEX($D$25:$D$31,7-D41))</f>
        <v>G0 level &gt; 50</v>
      </c>
      <c r="D42" s="3">
        <v>7</v>
      </c>
      <c r="E42" s="3" t="s">
        <v>151</v>
      </c>
      <c r="F42" s="3" t="s">
        <v>151</v>
      </c>
      <c r="G42" s="3" t="s">
        <v>151</v>
      </c>
      <c r="H42" s="3">
        <v>2147483647</v>
      </c>
      <c r="I42" s="3" t="str">
        <f>"0x"&amp;DEC2HEX(H42,8)</f>
        <v>0x7FFFFFFF</v>
      </c>
      <c r="J42" s="20">
        <f t="shared" si="3"/>
        <v>250</v>
      </c>
      <c r="K42" s="20">
        <f>D6</f>
        <v>5000</v>
      </c>
    </row>
    <row r="45" spans="1:11" x14ac:dyDescent="0.45">
      <c r="A45" s="5" t="s">
        <v>35</v>
      </c>
      <c r="B45" s="5" t="str">
        <f>CONCATENATE("mcbj set ac threshold ", E23)</f>
        <v>mcbj set ac threshold 0x00072E48</v>
      </c>
    </row>
    <row r="46" spans="1:11" x14ac:dyDescent="0.45">
      <c r="A46" s="5" t="s">
        <v>35</v>
      </c>
      <c r="B46" s="5" t="str">
        <f t="shared" ref="B46:B53" si="6">CONCATENATE("mcbj set ac up_table ",D35," ",I35," ",J35," ",K35)</f>
        <v>mcbj set ac up_table 0 0x09C1FD97 50 1000</v>
      </c>
    </row>
    <row r="47" spans="1:11" x14ac:dyDescent="0.45">
      <c r="A47" s="5" t="s">
        <v>35</v>
      </c>
      <c r="B47" s="5" t="str">
        <f t="shared" si="6"/>
        <v>mcbj set ac up_table 1 0x11D45A88 50 1000</v>
      </c>
    </row>
    <row r="48" spans="1:11" x14ac:dyDescent="0.45">
      <c r="A48" s="5" t="s">
        <v>35</v>
      </c>
      <c r="B48" s="5" t="str">
        <f t="shared" si="6"/>
        <v>mcbj set ac up_table 2 0x14FC5E19 45 900</v>
      </c>
    </row>
    <row r="49" spans="1:2" x14ac:dyDescent="0.45">
      <c r="A49" s="5" t="s">
        <v>35</v>
      </c>
      <c r="B49" s="5" t="str">
        <f t="shared" si="6"/>
        <v>mcbj set ac up_table 3 0x15F5241B 35 700</v>
      </c>
    </row>
    <row r="50" spans="1:2" x14ac:dyDescent="0.45">
      <c r="A50" s="5" t="s">
        <v>35</v>
      </c>
      <c r="B50" s="5" t="str">
        <f t="shared" si="6"/>
        <v>mcbj set ac up_table 4 0x1695C7B5 10 200</v>
      </c>
    </row>
    <row r="51" spans="1:2" x14ac:dyDescent="0.45">
      <c r="A51" s="5" t="s">
        <v>35</v>
      </c>
      <c r="B51" s="5" t="str">
        <f t="shared" si="6"/>
        <v>mcbj set ac up_table 5 0x17F445A8 75 1500</v>
      </c>
    </row>
    <row r="52" spans="1:2" x14ac:dyDescent="0.45">
      <c r="A52" s="5" t="s">
        <v>35</v>
      </c>
      <c r="B52" s="5" t="str">
        <f t="shared" si="6"/>
        <v>mcbj set ac up_table 6 0x18DBBBF1 125 2500</v>
      </c>
    </row>
    <row r="53" spans="1:2" x14ac:dyDescent="0.45">
      <c r="A53" s="5" t="s">
        <v>35</v>
      </c>
      <c r="B53" s="5" t="str">
        <f t="shared" si="6"/>
        <v>mcbj set ac up_table 7 0x7FFFFFFF 250 5000</v>
      </c>
    </row>
    <row r="54" spans="1:2" x14ac:dyDescent="0.45">
      <c r="A54" s="5" t="s">
        <v>35</v>
      </c>
      <c r="B54" s="5" t="str">
        <f>CONCATENATE("mcbj set ac timeout ", D14*1000)</f>
        <v>mcbj set ac timeout 30000</v>
      </c>
    </row>
  </sheetData>
  <mergeCells count="16">
    <mergeCell ref="B4:C4"/>
    <mergeCell ref="E33:E34"/>
    <mergeCell ref="F33:F34"/>
    <mergeCell ref="G33:G34"/>
    <mergeCell ref="B20:C20"/>
    <mergeCell ref="D33:D34"/>
    <mergeCell ref="H33:I33"/>
    <mergeCell ref="J33:J34"/>
    <mergeCell ref="K33:K34"/>
    <mergeCell ref="B5:C5"/>
    <mergeCell ref="B6:B13"/>
    <mergeCell ref="B25:B31"/>
    <mergeCell ref="B14:C14"/>
    <mergeCell ref="B33:C34"/>
    <mergeCell ref="B23:C23"/>
    <mergeCell ref="B22:C22"/>
  </mergeCells>
  <phoneticPr fontId="2"/>
  <dataValidations count="1">
    <dataValidation type="list" allowBlank="1" showInputMessage="1" showErrorMessage="1" sqref="D4 I4" xr:uid="{9104FA66-CC0F-48A8-A6A2-4EBB268822BC}">
      <formula1>"0.1"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0927-0C7F-4E39-8ABA-2B6F0DF3DC62}">
  <dimension ref="A2:H22"/>
  <sheetViews>
    <sheetView showGridLines="0" workbookViewId="0"/>
  </sheetViews>
  <sheetFormatPr defaultColWidth="9" defaultRowHeight="15" x14ac:dyDescent="0.45"/>
  <cols>
    <col min="1" max="1" width="7.09765625" style="12" bestFit="1" customWidth="1"/>
    <col min="2" max="2" width="20.59765625" style="12" customWidth="1"/>
    <col min="3" max="3" width="13.796875" style="12" bestFit="1" customWidth="1"/>
    <col min="4" max="4" width="12.5" style="12" bestFit="1" customWidth="1"/>
    <col min="5" max="5" width="9" style="12"/>
    <col min="6" max="6" width="12.8984375" style="12" bestFit="1" customWidth="1"/>
    <col min="7" max="16384" width="9" style="12"/>
  </cols>
  <sheetData>
    <row r="2" spans="1:8" ht="27" x14ac:dyDescent="0.45">
      <c r="B2" s="14" t="s">
        <v>99</v>
      </c>
    </row>
    <row r="3" spans="1:8" x14ac:dyDescent="0.45">
      <c r="F3" s="12" t="s">
        <v>14</v>
      </c>
      <c r="H3" s="12" t="s">
        <v>158</v>
      </c>
    </row>
    <row r="4" spans="1:8" x14ac:dyDescent="0.45">
      <c r="B4" s="15" t="s">
        <v>100</v>
      </c>
      <c r="C4" s="16">
        <v>490</v>
      </c>
      <c r="D4" s="17" t="s">
        <v>101</v>
      </c>
      <c r="F4" s="15" t="s">
        <v>100</v>
      </c>
      <c r="H4" s="16">
        <v>500</v>
      </c>
    </row>
    <row r="5" spans="1:8" x14ac:dyDescent="0.45">
      <c r="B5" s="15" t="s">
        <v>102</v>
      </c>
      <c r="C5" s="16">
        <v>30</v>
      </c>
      <c r="D5" s="17" t="s">
        <v>101</v>
      </c>
      <c r="F5" s="15" t="s">
        <v>102</v>
      </c>
      <c r="H5" s="16">
        <v>10</v>
      </c>
    </row>
    <row r="6" spans="1:8" x14ac:dyDescent="0.45">
      <c r="B6" s="15" t="s">
        <v>103</v>
      </c>
      <c r="C6" s="16">
        <v>400</v>
      </c>
      <c r="D6" s="18" t="s">
        <v>44</v>
      </c>
      <c r="F6" s="15" t="s">
        <v>104</v>
      </c>
      <c r="H6" s="16">
        <v>100</v>
      </c>
    </row>
    <row r="13" spans="1:8" s="13" customFormat="1" x14ac:dyDescent="0.45">
      <c r="A13" s="13" t="s">
        <v>33</v>
      </c>
    </row>
    <row r="15" spans="1:8" x14ac:dyDescent="0.45">
      <c r="B15" s="15" t="s">
        <v>146</v>
      </c>
      <c r="C15" s="19">
        <v>5825183.6129280003</v>
      </c>
    </row>
    <row r="16" spans="1:8" x14ac:dyDescent="0.45">
      <c r="B16" s="15" t="s">
        <v>40</v>
      </c>
      <c r="C16" s="19">
        <f>C4*C15</f>
        <v>2854339970.3347201</v>
      </c>
      <c r="D16" s="19" t="str">
        <f>"0x"&amp;DEC2HEX(C16,8)</f>
        <v>0xAA21C582</v>
      </c>
    </row>
    <row r="17" spans="1:4" x14ac:dyDescent="0.45">
      <c r="B17" s="15" t="s">
        <v>41</v>
      </c>
      <c r="C17" s="19">
        <f>C5*C15</f>
        <v>174755508.38784</v>
      </c>
      <c r="D17" s="19" t="str">
        <f>"0x"&amp;DEC2HEX(C17,8)</f>
        <v>0x0A6A8EB4</v>
      </c>
    </row>
    <row r="21" spans="1:4" x14ac:dyDescent="0.45">
      <c r="A21" s="12" t="s">
        <v>35</v>
      </c>
      <c r="B21" s="12" t="str">
        <f>CONCATENATE("mcbj set cal limit ", D17, " ", D16)</f>
        <v>mcbj set cal limit 0x0A6A8EB4 0xAA21C582</v>
      </c>
    </row>
    <row r="22" spans="1:4" x14ac:dyDescent="0.45">
      <c r="A22" s="12" t="s">
        <v>35</v>
      </c>
      <c r="B22" s="12" t="str">
        <f>CONCATENATE("mcbj set cal speed ", C6)</f>
        <v>mcbj set cal speed 400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2C73-7331-4CDF-B8F7-DE392A319A19}">
  <dimension ref="A2:F17"/>
  <sheetViews>
    <sheetView showGridLines="0" zoomScaleNormal="100" workbookViewId="0"/>
  </sheetViews>
  <sheetFormatPr defaultColWidth="9" defaultRowHeight="15" x14ac:dyDescent="0.45"/>
  <cols>
    <col min="1" max="1" width="7.09765625" style="12" bestFit="1" customWidth="1"/>
    <col min="2" max="2" width="39.3984375" style="12" bestFit="1" customWidth="1"/>
    <col min="3" max="3" width="14.5" style="12" bestFit="1" customWidth="1"/>
    <col min="4" max="4" width="12.5" style="12" bestFit="1" customWidth="1"/>
    <col min="5" max="5" width="9" style="12"/>
    <col min="6" max="6" width="24.8984375" style="12" bestFit="1" customWidth="1"/>
    <col min="7" max="16384" width="9" style="12"/>
  </cols>
  <sheetData>
    <row r="2" spans="1:6" ht="27" x14ac:dyDescent="0.45">
      <c r="B2" s="14" t="s">
        <v>105</v>
      </c>
    </row>
    <row r="3" spans="1:6" x14ac:dyDescent="0.45">
      <c r="F3" s="12" t="s">
        <v>14</v>
      </c>
    </row>
    <row r="4" spans="1:6" x14ac:dyDescent="0.45">
      <c r="B4" s="15" t="s">
        <v>106</v>
      </c>
      <c r="C4" s="16">
        <v>0.8</v>
      </c>
      <c r="D4" s="17" t="s">
        <v>107</v>
      </c>
      <c r="F4" s="15" t="s">
        <v>108</v>
      </c>
    </row>
    <row r="5" spans="1:6" x14ac:dyDescent="0.45">
      <c r="B5" s="15" t="s">
        <v>109</v>
      </c>
      <c r="C5" s="16">
        <v>3</v>
      </c>
      <c r="D5" s="17" t="s">
        <v>101</v>
      </c>
      <c r="F5" s="15" t="s">
        <v>110</v>
      </c>
    </row>
    <row r="6" spans="1:6" x14ac:dyDescent="0.45">
      <c r="B6" s="15" t="s">
        <v>111</v>
      </c>
      <c r="C6" s="16">
        <v>50</v>
      </c>
      <c r="D6" s="17" t="s">
        <v>112</v>
      </c>
      <c r="F6" s="15" t="s">
        <v>113</v>
      </c>
    </row>
    <row r="8" spans="1:6" s="13" customFormat="1" x14ac:dyDescent="0.45">
      <c r="A8" s="13" t="s">
        <v>33</v>
      </c>
    </row>
    <row r="10" spans="1:6" x14ac:dyDescent="0.45">
      <c r="B10" s="15" t="s">
        <v>146</v>
      </c>
      <c r="C10" s="19">
        <v>5825183.6129280003</v>
      </c>
    </row>
    <row r="11" spans="1:6" x14ac:dyDescent="0.45">
      <c r="B11" s="15" t="s">
        <v>114</v>
      </c>
      <c r="C11" s="33">
        <f>C$4*1000</f>
        <v>800</v>
      </c>
      <c r="D11" s="17" t="s">
        <v>115</v>
      </c>
    </row>
    <row r="12" spans="1:6" x14ac:dyDescent="0.45">
      <c r="B12" s="15" t="s">
        <v>116</v>
      </c>
      <c r="C12" s="33">
        <f>C$5*C$10</f>
        <v>17475550.838784002</v>
      </c>
      <c r="D12" s="33" t="str">
        <f>"0x"&amp;DEC2HEX(C12,8)</f>
        <v>0x010AA7DE</v>
      </c>
    </row>
    <row r="15" spans="1:6" x14ac:dyDescent="0.45">
      <c r="A15" s="12" t="s">
        <v>35</v>
      </c>
      <c r="B15" s="12" t="str">
        <f>CONCATENATE("asz set eg delta ", C11)</f>
        <v>asz set eg delta 800</v>
      </c>
    </row>
    <row r="16" spans="1:6" x14ac:dyDescent="0.45">
      <c r="A16" s="12" t="s">
        <v>35</v>
      </c>
      <c r="B16" s="12" t="str">
        <f>CONCATENATE("asz set eg stable_current_range ", D12)</f>
        <v>asz set eg stable_current_range 0x010AA7DE</v>
      </c>
    </row>
    <row r="17" spans="1:2" x14ac:dyDescent="0.45">
      <c r="A17" s="12" t="s">
        <v>35</v>
      </c>
      <c r="B17" s="12" t="str">
        <f>CONCATENATE("asz set eg stable_current_count ", C6)</f>
        <v>asz set eg stable_current_count 50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9AE3-FD62-4764-9A9E-AA1487277E53}">
  <dimension ref="A2:J43"/>
  <sheetViews>
    <sheetView showGridLines="0" zoomScaleNormal="100" workbookViewId="0"/>
  </sheetViews>
  <sheetFormatPr defaultColWidth="9" defaultRowHeight="15" x14ac:dyDescent="0.45"/>
  <cols>
    <col min="1" max="1" width="7.09765625" style="12" bestFit="1" customWidth="1"/>
    <col min="2" max="2" width="27.8984375" style="12" customWidth="1"/>
    <col min="3" max="3" width="43.09765625" style="12" customWidth="1"/>
    <col min="4" max="4" width="22.09765625" style="12" bestFit="1" customWidth="1"/>
    <col min="5" max="5" width="9" style="12"/>
    <col min="6" max="6" width="14.5" style="12" bestFit="1" customWidth="1"/>
    <col min="7" max="7" width="24.8984375" style="12" bestFit="1" customWidth="1"/>
    <col min="8" max="16384" width="9" style="12"/>
  </cols>
  <sheetData>
    <row r="2" spans="2:10" ht="27" x14ac:dyDescent="0.45">
      <c r="B2" s="14" t="s">
        <v>119</v>
      </c>
    </row>
    <row r="3" spans="2:10" x14ac:dyDescent="0.45">
      <c r="G3" s="12" t="s">
        <v>14</v>
      </c>
      <c r="I3" s="12" t="s">
        <v>157</v>
      </c>
    </row>
    <row r="4" spans="2:10" x14ac:dyDescent="0.45">
      <c r="B4" s="48" t="s">
        <v>117</v>
      </c>
      <c r="C4" s="49"/>
      <c r="D4" s="16">
        <v>3.4482680000000001</v>
      </c>
      <c r="E4" s="17" t="s">
        <v>101</v>
      </c>
      <c r="F4" s="12" t="s">
        <v>160</v>
      </c>
      <c r="G4" s="15" t="s">
        <v>118</v>
      </c>
      <c r="I4" s="16">
        <v>1.3422099999999999</v>
      </c>
      <c r="J4" s="12" t="s">
        <v>159</v>
      </c>
    </row>
    <row r="5" spans="2:10" x14ac:dyDescent="0.45">
      <c r="B5" s="61" t="s">
        <v>129</v>
      </c>
      <c r="C5" s="31" t="s">
        <v>131</v>
      </c>
      <c r="D5" s="16">
        <v>1</v>
      </c>
      <c r="E5" s="32" t="s">
        <v>48</v>
      </c>
      <c r="G5" s="64" t="s">
        <v>130</v>
      </c>
      <c r="I5" s="16">
        <v>1</v>
      </c>
    </row>
    <row r="6" spans="2:10" x14ac:dyDescent="0.45">
      <c r="B6" s="62"/>
      <c r="C6" s="31" t="s">
        <v>142</v>
      </c>
      <c r="D6" s="16">
        <v>2</v>
      </c>
      <c r="E6" s="32" t="s">
        <v>48</v>
      </c>
      <c r="G6" s="65"/>
      <c r="I6" s="16">
        <v>2</v>
      </c>
    </row>
    <row r="7" spans="2:10" x14ac:dyDescent="0.45">
      <c r="B7" s="62"/>
      <c r="C7" s="31" t="s">
        <v>143</v>
      </c>
      <c r="D7" s="16">
        <v>3</v>
      </c>
      <c r="E7" s="32" t="s">
        <v>48</v>
      </c>
      <c r="G7" s="65"/>
      <c r="I7" s="16">
        <v>3</v>
      </c>
    </row>
    <row r="8" spans="2:10" x14ac:dyDescent="0.45">
      <c r="B8" s="62"/>
      <c r="C8" s="31" t="s">
        <v>144</v>
      </c>
      <c r="D8" s="16">
        <v>4</v>
      </c>
      <c r="E8" s="32" t="s">
        <v>48</v>
      </c>
      <c r="G8" s="65"/>
      <c r="I8" s="16">
        <v>4</v>
      </c>
    </row>
    <row r="9" spans="2:10" x14ac:dyDescent="0.45">
      <c r="B9" s="63"/>
      <c r="C9" s="31" t="s">
        <v>141</v>
      </c>
      <c r="D9" s="16">
        <v>5</v>
      </c>
      <c r="E9" s="32" t="s">
        <v>48</v>
      </c>
      <c r="G9" s="66"/>
      <c r="I9" s="16">
        <v>5</v>
      </c>
    </row>
    <row r="10" spans="2:10" x14ac:dyDescent="0.45">
      <c r="B10" s="61" t="s">
        <v>125</v>
      </c>
      <c r="C10" s="36" t="s">
        <v>136</v>
      </c>
      <c r="D10" s="16">
        <v>0</v>
      </c>
      <c r="E10" s="32" t="s">
        <v>107</v>
      </c>
      <c r="G10" s="64" t="s">
        <v>124</v>
      </c>
      <c r="I10" s="16">
        <v>0</v>
      </c>
    </row>
    <row r="11" spans="2:10" x14ac:dyDescent="0.45">
      <c r="B11" s="62"/>
      <c r="C11" s="36" t="s">
        <v>137</v>
      </c>
      <c r="D11" s="16">
        <v>2</v>
      </c>
      <c r="E11" s="32" t="s">
        <v>107</v>
      </c>
      <c r="G11" s="65"/>
      <c r="I11" s="16">
        <v>2</v>
      </c>
    </row>
    <row r="12" spans="2:10" x14ac:dyDescent="0.45">
      <c r="B12" s="62"/>
      <c r="C12" s="31" t="s">
        <v>138</v>
      </c>
      <c r="D12" s="16">
        <v>100</v>
      </c>
      <c r="E12" s="32" t="s">
        <v>107</v>
      </c>
      <c r="G12" s="65"/>
      <c r="I12" s="16">
        <v>18</v>
      </c>
    </row>
    <row r="13" spans="2:10" x14ac:dyDescent="0.45">
      <c r="B13" s="62"/>
      <c r="C13" s="31" t="s">
        <v>139</v>
      </c>
      <c r="D13" s="16">
        <v>200</v>
      </c>
      <c r="E13" s="32" t="s">
        <v>107</v>
      </c>
      <c r="G13" s="65"/>
      <c r="I13" s="16">
        <v>34</v>
      </c>
    </row>
    <row r="14" spans="2:10" x14ac:dyDescent="0.45">
      <c r="B14" s="63"/>
      <c r="C14" s="31" t="s">
        <v>140</v>
      </c>
      <c r="D14" s="16">
        <v>500</v>
      </c>
      <c r="E14" s="32" t="s">
        <v>107</v>
      </c>
      <c r="G14" s="66"/>
      <c r="I14" s="16">
        <v>88</v>
      </c>
    </row>
    <row r="15" spans="2:10" x14ac:dyDescent="0.45">
      <c r="B15" s="61" t="s">
        <v>128</v>
      </c>
      <c r="C15" s="36" t="s">
        <v>136</v>
      </c>
      <c r="D15" s="16">
        <v>0</v>
      </c>
      <c r="E15" s="32" t="s">
        <v>127</v>
      </c>
      <c r="G15" s="64" t="s">
        <v>126</v>
      </c>
      <c r="I15" s="16">
        <v>0</v>
      </c>
    </row>
    <row r="16" spans="2:10" x14ac:dyDescent="0.45">
      <c r="B16" s="62"/>
      <c r="C16" s="36" t="s">
        <v>137</v>
      </c>
      <c r="D16" s="16">
        <v>500</v>
      </c>
      <c r="E16" s="32" t="s">
        <v>127</v>
      </c>
      <c r="G16" s="65"/>
      <c r="I16" s="16">
        <v>500</v>
      </c>
    </row>
    <row r="17" spans="1:9" x14ac:dyDescent="0.45">
      <c r="B17" s="62"/>
      <c r="C17" s="31" t="s">
        <v>138</v>
      </c>
      <c r="D17" s="16">
        <v>250</v>
      </c>
      <c r="E17" s="32" t="s">
        <v>127</v>
      </c>
      <c r="G17" s="65"/>
      <c r="I17" s="16">
        <v>250</v>
      </c>
    </row>
    <row r="18" spans="1:9" x14ac:dyDescent="0.45">
      <c r="B18" s="62"/>
      <c r="C18" s="31" t="s">
        <v>139</v>
      </c>
      <c r="D18" s="16">
        <v>150</v>
      </c>
      <c r="E18" s="32" t="s">
        <v>127</v>
      </c>
      <c r="G18" s="65"/>
      <c r="I18" s="16">
        <v>150</v>
      </c>
    </row>
    <row r="19" spans="1:9" x14ac:dyDescent="0.45">
      <c r="B19" s="63"/>
      <c r="C19" s="31" t="s">
        <v>140</v>
      </c>
      <c r="D19" s="16">
        <v>150</v>
      </c>
      <c r="E19" s="32" t="s">
        <v>127</v>
      </c>
      <c r="G19" s="66"/>
      <c r="I19" s="16">
        <v>150</v>
      </c>
    </row>
    <row r="21" spans="1:9" s="13" customFormat="1" x14ac:dyDescent="0.45">
      <c r="A21" s="13" t="s">
        <v>33</v>
      </c>
    </row>
    <row r="23" spans="1:9" x14ac:dyDescent="0.45">
      <c r="B23" s="15" t="s">
        <v>146</v>
      </c>
      <c r="C23" s="19">
        <v>5825183.6129280003</v>
      </c>
    </row>
    <row r="24" spans="1:9" x14ac:dyDescent="0.45">
      <c r="B24" s="15" t="s">
        <v>120</v>
      </c>
      <c r="C24" s="33" t="str">
        <f>"0x"&amp;DEC2HEX(D$4*C$23,8)</f>
        <v>0x0132800A</v>
      </c>
      <c r="D24" s="17" t="s">
        <v>48</v>
      </c>
    </row>
    <row r="26" spans="1:9" x14ac:dyDescent="0.45">
      <c r="B26" s="15" t="s">
        <v>121</v>
      </c>
      <c r="C26" s="33">
        <f>IF(D4&lt;=1,D5,IF(D4&lt;=3,D6,IF(D4&lt;=5,D7,IF(D4&lt;=10,D8,D9))))</f>
        <v>3</v>
      </c>
      <c r="D26" s="17" t="s">
        <v>48</v>
      </c>
    </row>
    <row r="28" spans="1:9" ht="90.6" thickBot="1" x14ac:dyDescent="0.5">
      <c r="B28" s="34" t="s">
        <v>134</v>
      </c>
      <c r="C28" s="34" t="s">
        <v>135</v>
      </c>
      <c r="D28" s="21" t="s">
        <v>122</v>
      </c>
      <c r="E28" s="35" t="s">
        <v>133</v>
      </c>
      <c r="F28" s="29" t="s">
        <v>123</v>
      </c>
    </row>
    <row r="29" spans="1:9" ht="15.6" thickTop="1" x14ac:dyDescent="0.45">
      <c r="B29" s="26">
        <v>0.3</v>
      </c>
      <c r="C29" s="26" t="str">
        <f>"0x"&amp;DEC2HEX(B29*C$23,8)</f>
        <v>0x001AAA63</v>
      </c>
      <c r="D29" s="26">
        <f>ROUNDDOWN(D10,0)</f>
        <v>0</v>
      </c>
      <c r="E29" s="28">
        <f>D15*C$26</f>
        <v>0</v>
      </c>
      <c r="F29" s="30" t="str">
        <f>IF(E29=0,"-",D29*(1000/(E29*C$26)))</f>
        <v>-</v>
      </c>
    </row>
    <row r="30" spans="1:9" x14ac:dyDescent="0.45">
      <c r="B30" s="26">
        <v>1</v>
      </c>
      <c r="C30" s="26" t="str">
        <f t="shared" ref="C30:C32" si="0">"0x"&amp;DEC2HEX(B30*C$23,8)</f>
        <v>0x0058E29F</v>
      </c>
      <c r="D30" s="26">
        <f>ROUNDDOWN(D11,0)</f>
        <v>2</v>
      </c>
      <c r="E30" s="28">
        <f t="shared" ref="E30:E33" si="1">D16*C$26</f>
        <v>1500</v>
      </c>
      <c r="F30" s="30">
        <f>IF(E30=0,"-",D30*(1000/(E30)))</f>
        <v>1.3333333333333333</v>
      </c>
    </row>
    <row r="31" spans="1:9" x14ac:dyDescent="0.45">
      <c r="B31" s="26">
        <v>3</v>
      </c>
      <c r="C31" s="26" t="str">
        <f t="shared" si="0"/>
        <v>0x010AA7DE</v>
      </c>
      <c r="D31" s="26">
        <f>ROUNDDOWN(D12,0)</f>
        <v>100</v>
      </c>
      <c r="E31" s="28">
        <f t="shared" si="1"/>
        <v>750</v>
      </c>
      <c r="F31" s="30">
        <f>IF(E31=0,"-",D31*(1000/(E31)))</f>
        <v>133.33333333333331</v>
      </c>
    </row>
    <row r="32" spans="1:9" x14ac:dyDescent="0.45">
      <c r="B32" s="26">
        <v>20</v>
      </c>
      <c r="C32" s="26" t="str">
        <f t="shared" si="0"/>
        <v>0x06F1B478</v>
      </c>
      <c r="D32" s="26">
        <f>ROUNDDOWN(D13,0)</f>
        <v>200</v>
      </c>
      <c r="E32" s="28">
        <f t="shared" si="1"/>
        <v>450</v>
      </c>
      <c r="F32" s="30">
        <f>IF(E32=0,"-",D32*(1000/(E32)))</f>
        <v>444.44444444444446</v>
      </c>
    </row>
    <row r="33" spans="1:6" x14ac:dyDescent="0.45">
      <c r="B33" s="26" t="s">
        <v>132</v>
      </c>
      <c r="C33" s="26" t="str">
        <f>"0xFFFFFFFF"</f>
        <v>0xFFFFFFFF</v>
      </c>
      <c r="D33" s="26">
        <f>ROUNDDOWN(D14,0)</f>
        <v>500</v>
      </c>
      <c r="E33" s="28">
        <f t="shared" si="1"/>
        <v>450</v>
      </c>
      <c r="F33" s="30">
        <f>IF(E33=0,"-",D33*(1000/(E33)))</f>
        <v>1111.1111111111111</v>
      </c>
    </row>
    <row r="38" spans="1:6" x14ac:dyDescent="0.45">
      <c r="A38" s="12" t="s">
        <v>35</v>
      </c>
      <c r="B38" s="12" t="str">
        <f>CONCATENATE("asz set hg tunnel_current ", C24)</f>
        <v>asz set hg tunnel_current 0x0132800A</v>
      </c>
    </row>
    <row r="39" spans="1:6" x14ac:dyDescent="0.45">
      <c r="A39" s="12" t="s">
        <v>35</v>
      </c>
      <c r="B39" s="12" t="str">
        <f>CONCATENATE("asz set hg fb_table ", 0," ",C29," ",D29," ",E29)</f>
        <v>asz set hg fb_table 0 0x001AAA63 0 0</v>
      </c>
    </row>
    <row r="40" spans="1:6" x14ac:dyDescent="0.45">
      <c r="A40" s="12" t="s">
        <v>35</v>
      </c>
      <c r="B40" s="12" t="str">
        <f>CONCATENATE("asz set hg fb_table ", 1," ",C30," ",D30," ",E30)</f>
        <v>asz set hg fb_table 1 0x0058E29F 2 1500</v>
      </c>
    </row>
    <row r="41" spans="1:6" x14ac:dyDescent="0.45">
      <c r="A41" s="12" t="s">
        <v>35</v>
      </c>
      <c r="B41" s="12" t="str">
        <f>CONCATENATE("asz set hg fb_table ", 2," ",C31," ",D31," ",E31)</f>
        <v>asz set hg fb_table 2 0x010AA7DE 100 750</v>
      </c>
    </row>
    <row r="42" spans="1:6" x14ac:dyDescent="0.45">
      <c r="A42" s="12" t="s">
        <v>35</v>
      </c>
      <c r="B42" s="12" t="str">
        <f>CONCATENATE("asz set hg fb_table ", 3," ",C32," ",D32," ",E32)</f>
        <v>asz set hg fb_table 3 0x06F1B478 200 450</v>
      </c>
    </row>
    <row r="43" spans="1:6" x14ac:dyDescent="0.45">
      <c r="A43" s="12" t="s">
        <v>35</v>
      </c>
      <c r="B43" s="12" t="str">
        <f>CONCATENATE("asz set hg fb_table ", 4," ",C33," ",D33," ",E33)</f>
        <v>asz set hg fb_table 4 0xFFFFFFFF 500 450</v>
      </c>
    </row>
  </sheetData>
  <mergeCells count="7">
    <mergeCell ref="B5:B9"/>
    <mergeCell ref="G5:G9"/>
    <mergeCell ref="B15:B19"/>
    <mergeCell ref="B10:B14"/>
    <mergeCell ref="B4:C4"/>
    <mergeCell ref="G10:G14"/>
    <mergeCell ref="G15:G19"/>
  </mergeCells>
  <phoneticPr fontId="2"/>
  <conditionalFormatting sqref="F28:F33">
    <cfRule type="expression" dxfId="0" priority="21">
      <formula>($C$26=F$28)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4c4311-c954-4697-83cb-b5f2224b314d" xsi:nil="true"/>
    <lcf76f155ced4ddcb4097134ff3c332f xmlns="eb3901fa-38f9-4c03-a121-48f623dff2a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570A306AD82B04EBB4D0E59171AAE23" ma:contentTypeVersion="15" ma:contentTypeDescription="新しいドキュメントを作成します。" ma:contentTypeScope="" ma:versionID="8cc44ba4f61d7d7cc485c2e1f760060a">
  <xsd:schema xmlns:xsd="http://www.w3.org/2001/XMLSchema" xmlns:xs="http://www.w3.org/2001/XMLSchema" xmlns:p="http://schemas.microsoft.com/office/2006/metadata/properties" xmlns:ns2="eb3901fa-38f9-4c03-a121-48f623dff2a2" xmlns:ns3="fa4c4311-c954-4697-83cb-b5f2224b314d" targetNamespace="http://schemas.microsoft.com/office/2006/metadata/properties" ma:root="true" ma:fieldsID="0d471c84c9b51f73f08a30a84044bf2c" ns2:_="" ns3:_="">
    <xsd:import namespace="eb3901fa-38f9-4c03-a121-48f623dff2a2"/>
    <xsd:import namespace="fa4c4311-c954-4697-83cb-b5f2224b31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901fa-38f9-4c03-a121-48f623dff2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4c4311-c954-4697-83cb-b5f2224b314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fd8d3e6-8377-413c-af8d-ff1ebe85f591}" ma:internalName="TaxCatchAll" ma:showField="CatchAllData" ma:web="fa4c4311-c954-4697-83cb-b5f2224b31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C8E147-1FDA-4EDD-B332-08FDDDA82212}">
  <ds:schemaRefs>
    <ds:schemaRef ds:uri="http://schemas.microsoft.com/office/2006/metadata/properties"/>
    <ds:schemaRef ds:uri="http://schemas.microsoft.com/office/infopath/2007/PartnerControls"/>
    <ds:schemaRef ds:uri="fa4c4311-c954-4697-83cb-b5f2224b314d"/>
    <ds:schemaRef ds:uri="eb3901fa-38f9-4c03-a121-48f623dff2a2"/>
  </ds:schemaRefs>
</ds:datastoreItem>
</file>

<file path=customXml/itemProps2.xml><?xml version="1.0" encoding="utf-8"?>
<ds:datastoreItem xmlns:ds="http://schemas.openxmlformats.org/officeDocument/2006/customXml" ds:itemID="{3E462371-C37A-4389-BB59-2B8D9F6033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9585E1-EF8B-4090-8D95-CCC124F067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3901fa-38f9-4c03-a121-48f623dff2a2"/>
    <ds:schemaRef ds:uri="fa4c4311-c954-4697-83cb-b5f2224b31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使用方法</vt:lpstr>
      <vt:lpstr>FirstCut</vt:lpstr>
      <vt:lpstr>MotorTraining</vt:lpstr>
      <vt:lpstr>PiezoTraining</vt:lpstr>
      <vt:lpstr>Targeting</vt:lpstr>
      <vt:lpstr>AutoCut</vt:lpstr>
      <vt:lpstr>Calibration</vt:lpstr>
      <vt:lpstr>ExpandGap</vt:lpstr>
      <vt:lpstr>HoldGap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Haba, Yuusuke (SGMO)</dc:creator>
  <cp:keywords/>
  <dc:description/>
  <cp:lastModifiedBy>Hasegawa, Kiyoshi (SGMO)</cp:lastModifiedBy>
  <cp:revision/>
  <dcterms:created xsi:type="dcterms:W3CDTF">2024-11-27T02:54:24Z</dcterms:created>
  <dcterms:modified xsi:type="dcterms:W3CDTF">2026-08-12T04:29:45Z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0x010100C570A306AD82B04EBB4D0E59171AAE23</vt:lpwstr>
  </property>
  <property fmtid="{D5CDD505-2E9C-101B-9397-08002B2CF9AE}" pid="3" name="MediaServiceImageTags">
    <vt:lpwstr/>
  </property>
</Properties>
</file>